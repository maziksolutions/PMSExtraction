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ily updates history" sheetId="1" state="visible" r:id="rId1"/>
    <sheet xmlns:r="http://schemas.openxmlformats.org/officeDocument/2006/relationships" name="Bugs tracking" sheetId="2" state="visible" r:id="rId2"/>
    <sheet xmlns:r="http://schemas.openxmlformats.org/officeDocument/2006/relationships" name="To do" sheetId="3" state="visible" r:id="rId3"/>
    <sheet xmlns:r="http://schemas.openxmlformats.org/officeDocument/2006/relationships" name="Dashboard Page" sheetId="4" state="visible" r:id="rId4"/>
    <sheet xmlns:r="http://schemas.openxmlformats.org/officeDocument/2006/relationships" name="Ingestion Page" sheetId="5" state="visible" r:id="rId5"/>
    <sheet xmlns:r="http://schemas.openxmlformats.org/officeDocument/2006/relationships" name="Manuals Page" sheetId="6" state="visible" r:id="rId6"/>
    <sheet xmlns:r="http://schemas.openxmlformats.org/officeDocument/2006/relationships" name="Status Modal" sheetId="7" state="visible" r:id="rId7"/>
    <sheet xmlns:r="http://schemas.openxmlformats.org/officeDocument/2006/relationships" name="Components Page" sheetId="8" state="visible" r:id="rId8"/>
    <sheet xmlns:r="http://schemas.openxmlformats.org/officeDocument/2006/relationships" name="Jobs Page" sheetId="9" state="visible" r:id="rId9"/>
    <sheet xmlns:r="http://schemas.openxmlformats.org/officeDocument/2006/relationships" name="Spares Page" sheetId="10" state="visible" r:id="rId10"/>
    <sheet xmlns:r="http://schemas.openxmlformats.org/officeDocument/2006/relationships" name="System &amp; Backend" sheetId="11" state="visible" r:id="rId11"/>
  </sheets>
  <definedNames/>
  <calcPr calcId="124519" fullCalcOnLoad="1"/>
</workbook>
</file>

<file path=xl/styles.xml><?xml version="1.0" encoding="utf-8"?>
<styleSheet xmlns="http://schemas.openxmlformats.org/spreadsheetml/2006/main">
  <numFmts count="3">
    <numFmt numFmtId="164" formatCode="d&quot;-&quot;mmm&quot;-&quot;yyyy"/>
    <numFmt numFmtId="165" formatCode="m-d-yyyy"/>
    <numFmt numFmtId="166" formatCode="mm-dd-yyyy"/>
  </numFmts>
  <fonts count="8">
    <font>
      <name val="Arial"/>
      <color rgb="FF000000"/>
      <sz val="10"/>
      <scheme val="minor"/>
    </font>
    <font>
      <name val="Quattrocento Sans"/>
      <b val="1"/>
      <color rgb="FFFFFFFF"/>
      <sz val="11"/>
    </font>
    <font>
      <name val="Arial"/>
      <color theme="1"/>
      <scheme val="minor"/>
    </font>
    <font>
      <name val="Arial"/>
      <b val="1"/>
      <color rgb="FFFFFFFF"/>
      <scheme val="minor"/>
    </font>
    <font>
      <name val="Arial"/>
      <color rgb="FFFFFFFF"/>
      <scheme val="minor"/>
    </font>
    <font>
      <name val="Quattrocento Sans"/>
      <b val="1"/>
      <color rgb="FF1B365D"/>
      <sz val="14"/>
    </font>
    <font>
      <name val="Quattrocento Sans"/>
      <i val="1"/>
      <color rgb="FF4A5568"/>
      <sz val="10"/>
    </font>
    <font>
      <name val="Quattrocento Sans"/>
      <color rgb="FF000000"/>
      <sz val="10"/>
    </font>
  </fonts>
  <fills count="8">
    <fill>
      <patternFill/>
    </fill>
    <fill>
      <patternFill patternType="lightGray"/>
    </fill>
    <fill>
      <patternFill patternType="solid">
        <fgColor rgb="FF1B365D"/>
        <bgColor rgb="FF1B365D"/>
      </patternFill>
    </fill>
    <fill>
      <patternFill patternType="solid">
        <fgColor rgb="FF38761D"/>
        <bgColor rgb="FF38761D"/>
      </patternFill>
    </fill>
    <fill>
      <patternFill patternType="solid">
        <fgColor rgb="FFFF9900"/>
        <bgColor rgb="FFFF9900"/>
      </patternFill>
    </fill>
    <fill>
      <patternFill patternType="solid">
        <fgColor rgb="FF000000"/>
        <bgColor rgb="FF000000"/>
      </patternFill>
    </fill>
    <fill>
      <patternFill patternType="solid">
        <fgColor rgb="FFFFFFFF"/>
        <bgColor rgb="FFFFFFFF"/>
      </patternFill>
    </fill>
    <fill>
      <patternFill patternType="solid">
        <fgColor rgb="FFF7FAFC"/>
        <bgColor rgb="FFF7FAFC"/>
      </patternFill>
    </fill>
  </fills>
  <borders count="2">
    <border/>
    <border>
      <left style="thin">
        <color rgb="FFE2E8F0"/>
      </left>
      <right style="thin">
        <color rgb="FFE2E8F0"/>
      </right>
      <top style="thin">
        <color rgb="FFE2E8F0"/>
      </top>
      <bottom style="thin">
        <color rgb="FFE2E8F0"/>
      </bottom>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14" fontId="2" fillId="0" borderId="0" pivotButton="0" quotePrefix="0" xfId="0"/>
    <xf numFmtId="0" fontId="2" fillId="0" borderId="0" pivotButton="0" quotePrefix="0" xfId="0"/>
    <xf numFmtId="0" fontId="1" fillId="2" borderId="0" applyAlignment="1" pivotButton="0" quotePrefix="0" xfId="0">
      <alignment horizontal="center" vertical="center" wrapText="1"/>
    </xf>
    <xf numFmtId="164"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164" fontId="2" fillId="0" borderId="0" pivotButton="0" quotePrefix="0" xfId="0"/>
    <xf numFmtId="0" fontId="2" fillId="3" borderId="0" pivotButton="0" quotePrefix="0" xfId="0"/>
    <xf numFmtId="0" fontId="2" fillId="4" borderId="0" pivotButton="0" quotePrefix="0" xfId="0"/>
    <xf numFmtId="165" fontId="2" fillId="0" borderId="0" pivotButton="0" quotePrefix="0" xfId="0"/>
    <xf numFmtId="0" fontId="2" fillId="0" borderId="0" applyAlignment="1" pivotButton="0" quotePrefix="0" xfId="0">
      <alignment wrapText="1"/>
    </xf>
    <xf numFmtId="164" fontId="2" fillId="0" borderId="0" pivotButton="0" quotePrefix="0" xfId="0"/>
    <xf numFmtId="0" fontId="3" fillId="5" borderId="0" applyAlignment="1" pivotButton="0" quotePrefix="0" xfId="0">
      <alignment wrapText="1"/>
    </xf>
    <xf numFmtId="0" fontId="3" fillId="5" borderId="0" applyAlignment="1" pivotButton="0" quotePrefix="0" xfId="0">
      <alignment horizontal="right" wrapText="1"/>
    </xf>
    <xf numFmtId="0" fontId="4" fillId="5" borderId="0" applyAlignment="1" pivotButton="0" quotePrefix="0" xfId="0">
      <alignment wrapText="1"/>
    </xf>
    <xf numFmtId="0" fontId="4" fillId="5" borderId="0" applyAlignment="1" pivotButton="0" quotePrefix="0" xfId="0">
      <alignment horizontal="right" wrapText="1"/>
    </xf>
    <xf numFmtId="0" fontId="2" fillId="0" borderId="0" applyAlignment="1" pivotButton="0" quotePrefix="0" xfId="0">
      <alignment wrapText="1"/>
    </xf>
    <xf numFmtId="166" fontId="2" fillId="0" borderId="0" applyAlignment="1" pivotButton="0" quotePrefix="0" xfId="0">
      <alignment horizontal="right" wrapText="1"/>
    </xf>
    <xf numFmtId="0" fontId="2" fillId="4" borderId="0" applyAlignment="1" pivotButton="0" quotePrefix="0" xfId="0">
      <alignment wrapText="1"/>
    </xf>
    <xf numFmtId="0" fontId="2" fillId="0" borderId="0" applyAlignment="1" pivotButton="0" quotePrefix="0" xfId="0">
      <alignment horizontal="right" wrapText="1"/>
    </xf>
    <xf numFmtId="165" fontId="2" fillId="0" borderId="0" applyAlignment="1" pivotButton="0" quotePrefix="0" xfId="0">
      <alignment horizontal="right" wrapText="1"/>
    </xf>
    <xf numFmtId="0" fontId="2" fillId="0" borderId="0" applyAlignment="1" pivotButton="0" quotePrefix="0" xfId="0">
      <alignment horizontal="right" wrapText="1"/>
    </xf>
    <xf numFmtId="0" fontId="5" fillId="0" borderId="0" pivotButton="0" quotePrefix="0" xfId="0"/>
    <xf numFmtId="0" fontId="6" fillId="0" borderId="0" pivotButton="0" quotePrefix="0" xfId="0"/>
    <xf numFmtId="0" fontId="7" fillId="6" borderId="1" applyAlignment="1" pivotButton="0" quotePrefix="0" xfId="0">
      <alignment horizontal="center" vertical="center"/>
    </xf>
    <xf numFmtId="0" fontId="7" fillId="6" borderId="1" applyAlignment="1" pivotButton="0" quotePrefix="0" xfId="0">
      <alignment horizontal="left" vertical="center" wrapText="1"/>
    </xf>
    <xf numFmtId="0" fontId="7" fillId="7" borderId="1" applyAlignment="1" pivotButton="0" quotePrefix="0" xfId="0">
      <alignment horizontal="center" vertical="center"/>
    </xf>
    <xf numFmtId="0" fontId="7" fillId="7" borderId="1"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None</author>
  </authors>
  <commentList>
    <comment ref="I2" authorId="0" shapeId="0">
      <text>
        <t>25-09-2026</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B66"/>
  <sheetViews>
    <sheetView workbookViewId="0">
      <selection activeCell="A1" sqref="A1"/>
    </sheetView>
  </sheetViews>
  <sheetFormatPr baseColWidth="8" defaultColWidth="12.63" defaultRowHeight="15.75" customHeight="1"/>
  <cols>
    <col width="316" customWidth="1" style="30" min="2" max="2"/>
  </cols>
  <sheetData>
    <row r="1">
      <c r="A1" s="7" t="inlineStr">
        <is>
          <t>Date</t>
        </is>
      </c>
      <c r="B1" s="2" t="inlineStr">
        <is>
          <t>Notes</t>
        </is>
      </c>
    </row>
    <row r="2">
      <c r="A2" s="3">
        <f>DATE(2026, 6, 10)</f>
        <v/>
      </c>
      <c r="B2" s="4" t="inlineStr">
        <is>
          <t>Sharing of production credentials to Aman</t>
        </is>
      </c>
    </row>
    <row r="3">
      <c r="A3" s="3">
        <f>DATE(2026, 6, 12)</f>
        <v/>
      </c>
      <c r="B3" s="4" t="inlineStr">
        <is>
          <t>Sharing of staging credentials to Aman</t>
        </is>
      </c>
    </row>
    <row r="4">
      <c r="A4" s="3">
        <f>DATE(2026, 6, 19)</f>
        <v/>
      </c>
      <c r="B4" s="4" t="inlineStr">
        <is>
          <t>I worked on making the vessel details to a minimal scrolling view as pointed by Dinesh to minimize scrolling on the vessel details page.</t>
        </is>
      </c>
    </row>
    <row r="5">
      <c r="A5" s="3">
        <f>DATE(2026, 6, 24)</f>
        <v/>
      </c>
      <c r="B5" s="4" t="inlineStr">
        <is>
          <t>checking on the PMS extract tool for issues</t>
        </is>
      </c>
    </row>
    <row r="6">
      <c r="A6" s="3">
        <f>DATE(2026, 7, 2)</f>
        <v/>
      </c>
      <c r="B6" s="4" t="inlineStr">
        <is>
          <t>worked with screening the manuals on PMS extract tool</t>
        </is>
      </c>
    </row>
    <row r="7">
      <c r="A7" s="3">
        <f>DATE(2026, 7, 3)</f>
        <v/>
      </c>
      <c r="B7" s="4" t="inlineStr">
        <is>
          <t>working on PMS extract tool which is having issue with extracting components, jobs, spares from manuals</t>
        </is>
      </c>
    </row>
    <row r="8">
      <c r="A8" s="3">
        <f>DATE(2026, 7, 6)</f>
        <v/>
      </c>
      <c r="B8" s="4" t="inlineStr">
        <is>
          <t>Testing the PMS extract tool</t>
        </is>
      </c>
    </row>
    <row r="9">
      <c r="A9" s="3">
        <f>DATE(2026, 7, 7)</f>
        <v/>
      </c>
      <c r="B9" s="4" t="inlineStr">
        <is>
          <t>working on the PMS Extract tool on the manual download and extract issue</t>
        </is>
      </c>
    </row>
    <row r="10">
      <c r="A10" s="3">
        <f>DATE(2026, 7, 8)</f>
        <v/>
      </c>
      <c r="B10" s="4" t="inlineStr">
        <is>
          <t>worked on integrating the minio storage integration with PMS extract application</t>
        </is>
      </c>
    </row>
    <row r="11">
      <c r="A11" s="3">
        <f>DATE(2026, 7, 9)</f>
        <v/>
      </c>
      <c r="B11" s="4" t="inlineStr">
        <is>
          <t>worked on testing the PMS extract tool</t>
        </is>
      </c>
    </row>
    <row r="12">
      <c r="A12" s="3">
        <f>DATE(2026, 7, 10)</f>
        <v/>
      </c>
      <c r="B12" s="4" t="inlineStr">
        <is>
          <t>worked on testing the PMS extract application</t>
        </is>
      </c>
    </row>
    <row r="13">
      <c r="A13" s="3">
        <f>DATE(2026, 7, 13)</f>
        <v/>
      </c>
      <c r="B13" s="4" t="inlineStr">
        <is>
          <t>1. The Claude model had to be updated for making the API requests for extraction, as the new models was made available and older used ones were outdated and was causing the extraction to fail.
2. Also the tokens handling were updated for processing the manuals efficiently.
3. I did the testing on the extraction and the manual contents was extracted successfully.
4. I'm checking the extraction contents against the page of manual. I'm still verifying the extraction.</t>
        </is>
      </c>
    </row>
    <row r="14">
      <c r="A14" s="3">
        <f>DATE(2026, 7, 14)</f>
        <v/>
      </c>
      <c r="B14" s="4" t="inlineStr">
        <is>
          <t>1. This morning I had a call with Dinesh and had discussion on the recent changes to the application.
    1.1. The application needs storage access to any storage provider. Currently MinIo of Dinesh account is being used and this needs to be changed. I checked if storage provided by railway's server or for any other providers will be of appropriate to our use.
    1.2. The AI model needs to be fetched periodically and the available model to be used for extraction instead of manually changing the model in the environment variable whenever the model gets outdated and new model available.
    1.3. Verifying the extraction accuracy to be carried out by new Joiner Karthik.
2. Discussion on maintaining the version history for reference was discussed.
3. A meeting for demo was scheduled with Aman, Dinesh, Rajeshwari and Karthik at 15:30.
  3.1.  Discussed about the Sharepoint access for directly accessing the manuals instead of manually uploading the files.
  3.2.  Discussed on the need for a git repository of Mazik account for transfering the project from Dinesh's account.
  3.3.  Had noted some minor fixes of identified improvements during the demo.</t>
        </is>
      </c>
    </row>
    <row r="15">
      <c r="A15" s="3">
        <f>DATE(2026, 7, 15)</f>
        <v/>
      </c>
      <c r="B15" s="4" t="inlineStr">
        <is>
          <t>1. Today morning I had a call with Karthik &amp; Dinesh and Karthik had brought to us on the improvements and fixes to the application, I have attached along with this email the requested changes by Karthik. I'm not providing the time required for each changes, instead will try to cover all the changes over the week period in parallel to the other running tasks. Hoping to cover the changes by next week Thursday or earlier than that.
2. Sharepoint access details to be shared shortly for centralized access to manuals.
3. Aman had shared with me the Git repository of Mazik space and added me as a collaborator, And I had successfully cloned PMS extract application from Dinesh's repository into the now available space and necessary integrations to the railway server has been made.
4. Regarding the storage provider for the application, I came across the Cloudflare R2 which has 10GB of basic storage and exceeding that each GB will be taken into account, where 100 GB would cost us $1.35 / month. On the other hand, Railway's volume storage can't be relied upon as it has higher cost and the system of storage is not fail proof.</t>
        </is>
      </c>
    </row>
    <row r="16">
      <c r="A16" s="3">
        <f>DATE(2026, 7, 16)</f>
        <v/>
      </c>
      <c r="B16" s="4" t="inlineStr">
        <is>
          <t>1. Aman added the Railway's application service to the git repository and I was able to connect to the Mazik PMS Extract repository and deployed the frontend and backend services.
2. Aman also had shared with me the share-point credentials, I worked on configuring the site and creating credentials for the access to the PMS extract application, This further needs granting of permissions from administrator to allow file read all and site read all.
3. Arvind had asked for extracting a manual and provide him with the spares and jobs from that. I had provided him the QC export version of sheets to him on this.
4. Regarding the storage service, cloudflare R2, This service needs subscription to begin use of R2 storage. I request Aman to look into this.
5. I have worked on the scroll bar issue on the tables across the application.</t>
        </is>
      </c>
    </row>
    <row r="17">
      <c r="A17" s="3">
        <f>DATE(2026, 7, 17)</f>
        <v/>
      </c>
      <c r="B17" s="4" t="inlineStr">
        <is>
          <t xml:space="preserve">1. Permissions for SharePoint was updated by Aman and I worked on integrating the sharepoint feature to the application and updating changes to fix the errors and issues with the integration of the Sharepoint like URL parsing and listing the files from the sharepoint drive. I had tested the changes several times with fixes to the observed small issue targets during my testing. Now the sharepoint feature is working as expected.
2. Had a call with Arvind regarding the extracted excel QA Jobs and Spares. Arvind pointed to me on the inconsistencies in few of the extracted data. I informed him about the AI reponse accuracy being in testing.
3. Also had talk with Aman regarding the Cloudflare R2 requirement in all internal storage of the application.
4. I had worked on Karthik requested changes:
     4.1. To provide progress bar for the AI extraction of components, jobs and spares in the manuals page.
     4.2. To provide count of pending components.
     4.3. Manuals to be opened in a new tab while double tapping the components. </t>
        </is>
      </c>
    </row>
    <row r="18">
      <c r="A18" s="3">
        <f>DATE(2026, 7, 20)</f>
        <v/>
      </c>
      <c r="B18" s="4" t="inlineStr">
        <is>
          <t>General:
 - As discussed rearrange the scroll  bar. ✔
Components Page:
 - Do not hide the tree in the component page. ( Do not make any changes)✔
 - Provide count of pending components in the status bar and the list of those components in the popup when seleted upon.✔
 - Manuals to be opened in a new tab while double tapping the components.✔
   . Pdf reference to be auto generated✔
 - Add component option
   . Main machinery to be drop down and please provide ✔
   . Adding components - Main machinery to be made mandatory. ✔
   . Adding Main Machinery - Group and Sub group to be made mandatory. ✔
 - Allow components to be copied from one manual to another. ✔
 - Pdf reference should to be drop down of manuals added to the partiular project. ✔</t>
        </is>
      </c>
    </row>
    <row r="19">
      <c r="A19" s="3">
        <f>DATE(2026, 7, 21)</f>
        <v/>
      </c>
      <c r="B19" s="4" t="inlineStr">
        <is>
          <t>1. Double-click a component row in the Components page (or click its manual preview link), the manual opens in a new tab with the following features
   1.1. Resizable Vertical Split Layout
   1.2. Manual Components List with Page Jumps
   1.3. Add Component directly from the Manual Tab
   1.4. PDF Click + Hold + Drag Panning
2. Components Pending QC Filter Fix
3. Had communicated with Dinesh and he had asked me to work on improving the AI processing of extraction to be time and cost effective.
4. I have also communicated with Aman on the Cloudflare R2 access.</t>
        </is>
      </c>
    </row>
    <row r="20">
      <c r="A20" s="3">
        <f>DATE(2026, 7, 22)</f>
        <v/>
      </c>
      <c r="B20" s="4" t="inlineStr">
        <is>
          <t>I worked on improvising the AI extraction processing, optimizing it for the faster data extraction and strategies to make the extraction process effective. I had to improve the accuracy, speed of extraction, minimizing the number of pages to process to efficiently use the OCR(Optical character recognizion) on valid pages and AI extraction on rest of the pages.</t>
        </is>
      </c>
    </row>
    <row r="21">
      <c r="A21" s="3">
        <f>DATE(2026, 7, 23)</f>
        <v/>
      </c>
      <c r="B21" s="4" t="inlineStr">
        <is>
          <t xml:space="preserve">1. Upgraded the manual data extraction progress tracking. Instead of just showing completed manuals, the UI now shows a sub progress bar displaying the active manual name, the page-by-page progress percentage, and the active extraction action.
2.  Fixed a bug where the manual selection box (snip tool) was drifting away from the mouse pointer at zoom scales other than 100%.
</t>
        </is>
      </c>
    </row>
    <row r="22">
      <c r="A22" s="3">
        <f>DATE(2026, 7, 24)</f>
        <v/>
      </c>
      <c r="B22" s="4" t="inlineStr">
        <is>
          <t>1. Worked on fixing the spares page manual snipping coordinate offset issue under custom zoom sizes in snipping-extract-page and Manual-page.
2. Fixed the image boundary crop coordinate scaling bug in image to blob where custom zoom levels caused cropped image regions to shift, resulting in blank images being sent to the AI.
3. Resolved the spares extraction failure where empty records were returned, modified code to display inner exceptions to display proper API error messages.
4. Added a detailed step-by-step progress checklist inside the spares snipping modal showing the user the extraction stages (cropping, uploading, parsing, and structuring).
5. Worked on implementing Pause, Resume, and Stop control features for the background manual extraction task. Updated the progress UI with Pause/Resume/Stop action buttons and exposed the endpoints in the backend.</t>
        </is>
      </c>
    </row>
    <row r="23">
      <c r="A23" s="3">
        <f>DATE(2026, 7, 27)</f>
        <v/>
      </c>
      <c r="B23" s="4" t="inlineStr">
        <is>
          <t>worked on integrating the cloudflare R2 with the PMS Extract tool and also worked on R&amp;D on the optimization of AI extraction</t>
        </is>
      </c>
    </row>
    <row r="24">
      <c r="A24" s="3">
        <f>DATE(2026, 7, 28)</f>
        <v/>
      </c>
      <c r="B24" s="4" t="inlineStr">
        <is>
          <t>1. Analyzed and Identified the issue for the failing of extracts to be the Claude AI credits running low issue and reported it to Aman and got it resolved by topping it up.
2. Resolved sharepoint download issue after the integration of clouffare r2, Dinesh had reported to me of errors while downloading from sharepoint. I had made changes and fixed the issue.
3. Continued testing the changes to snipping and extract of manual and got the extracted items with good accuracy.</t>
        </is>
      </c>
    </row>
    <row r="25">
      <c r="A25" s="3">
        <f>DATE(2026, 7, 29)</f>
        <v/>
      </c>
      <c r="B25" s="4" t="inlineStr">
        <is>
          <t>1. Had a call with Dinesh and Karthik, During call discussed about the improvements to sharepoint integration and other important mentions. I have done the changes to the sharepoint feature which now allows Directory Navigation, Dynamic File Type Filters, Active Session Auto-Restoration when the user goes out of the tab and returns back.
2. Jobs page, 
fixed, Description do not merge while clubbing the jobs, 
fixed, Jobs mapping should be limited only to the components available in the particular manual
fixed, Adding new jobs needs pdf reference field
3. Moved all the staging changes to production environment.</t>
        </is>
      </c>
    </row>
    <row r="26">
      <c r="A26" s="3">
        <f>DATE(2026, 7, 30)</f>
        <v/>
      </c>
      <c r="B26" s="4" t="inlineStr">
        <is>
          <t>1. In the sharepoint implementation, Dinesh during the call had mentioned that the files when selected and navigating between folders the files selected were unchecked which loses tracking, I have made changes to have the selection maintained while navigation and also added feature to view and edit the selected page in a seperate modal post selection in a single view.
2. Also Dinesh mentioned that the files irrespective of the download status during ingestion it is getting added in the manuals page. I have changed this and now only the completely downloaded manuals are added in the manuals page.
3. In spares extraction the spares were susceptible to duplications, I have addressed this and made some changes to fix this issue. This needs to be tested by Karthik for its efficiency across manuals.</t>
        </is>
      </c>
    </row>
    <row r="27">
      <c r="A27" s="3">
        <f>DATE(2026, 7, 31)</f>
        <v/>
      </c>
      <c r="B27" s="4" t="inlineStr">
        <is>
          <t>1. Had a requirement from Dinesh to add batch feature to the existing sharepoint manuals ingestion implementation. I had made changes to add batch feature in ingestion sharepoint page and manuals page. Now the manuals can be assisgned batched for downloading and the same can be seen in batches in the manuals page.
2. Had an issue when I tested the ingestion after few of my changes, Which if the file in sharepoint is 85MB the file gets downloaded and listed entry in the manuals page showed it to be 0 KB. I have fixed this issue.
3. I was testing the application after the recent changes I have made.</t>
        </is>
      </c>
    </row>
    <row r="28">
      <c r="A28" s="3">
        <f>DATE(2026, 8, 3)</f>
        <v/>
      </c>
      <c r="B28" s="4" t="inlineStr">
        <is>
          <t>working on implementing the extract spares only option in manuals page. Now the manuals have some inconsistencies with the extract spares which adds irrelavant spares which aren't present in the specified page. To eliminate the common extract for component, spares and jobs. Now only the spares extraction is being implemented. This might provide the accuracy which we have during the snip and extract.</t>
        </is>
      </c>
    </row>
    <row r="29">
      <c r="A29" s="3">
        <f>DATE(2026, 8, 4)</f>
        <v/>
      </c>
      <c r="B29" s="4" t="inlineStr">
        <is>
          <t xml:space="preserve">1. There was an issue with that extra entries are getting added and some are missing in the spares extraction, Now I have fixed that to extract the manual for spare at most accuracy. I have tested it and it is working as expected.
Changes:
a. Removed the text-scanning phase before the extraction begins. The application eliminates the unnecessary phase as a result the extraction is now faster.
b. Improved the process of sending the image back to the Claude vision for extraction. The image stripping is now improved to omit the missed spare entries because of improper snipping of the single image.
2. Implemented resume or stop of the extraction process when the user navigates across pages and returns back to the manuals page. The extraction continues in the background.
</t>
        </is>
      </c>
    </row>
    <row r="30">
      <c r="A30" s="3">
        <f>DATE(2026, 8, 5)</f>
        <v/>
      </c>
      <c r="B30" s="4" t="inlineStr">
        <is>
          <t>1. I worked on bringing accuracy like spare extraction to the component and jobs extraction.
2. Dinesh had informed me that the Assembly information is incorrect and mention the headers of the table or the headers of the diagram would be the assembly information. I am working on this currently.</t>
        </is>
      </c>
    </row>
    <row r="31">
      <c r="A31" s="3">
        <f>DATE(2026, 8, 6)</f>
        <v/>
      </c>
      <c r="B31" s="4" t="inlineStr">
        <is>
          <t>1. Implemented progress details to component and jobs extraction.
2. Improved the screening of the page progress with progress details displayed and optimizing the screening approach, Which now have improved screening time.
3. I have pushed the assembly retrieval from table or the diagram header to the repository.</t>
        </is>
      </c>
    </row>
    <row r="32">
      <c r="A32" s="3">
        <f>DATE(2026, 8, 7)</f>
        <v/>
      </c>
      <c r="B32" s="4" t="inlineStr">
        <is>
          <t>DInesh had asked me to work on few implementations and issues 
1. Worked on assembly extraction in spares page, The previously implemented version was working fine but if the assembly name is in the previous page instead of the specified page the assembly extraction was incorrect. This time I have implemented a text snipping in before upto 10 pages for the assembly details and maps them to the respective specified spare.
2. Implemented sorting of columns in all pages.
3. Implemented a frequency filter in jobs page, An input with searchable frequency.
4. Implementing editable component name and also remapping it to the selected component name path of the components tree.</t>
        </is>
      </c>
    </row>
    <row r="33">
      <c r="A33" s="3">
        <f>DATE(2026, 8, 10)</f>
        <v/>
      </c>
      <c r="B33" s="4" t="inlineStr">
        <is>
          <t>worked on implementing snip &amp; extract feature in jobs page.</t>
        </is>
      </c>
    </row>
    <row r="34">
      <c r="A34" s="3">
        <f>DATE(2026, 8, 11)</f>
        <v/>
      </c>
      <c r="B34" s="4" t="inlineStr">
        <is>
          <t>I'm having conversation with Karthik and DInesh to identify the issues that arise during the production use. I'm also working on resolving the issues.
The application is failing to extract the jobs alongside the components and spares. I'm checking on this and re-enabling option to manually extract the jobs only.</t>
        </is>
      </c>
    </row>
    <row r="35">
      <c r="A35" s="3">
        <f>DATE(2026, 8, 12)</f>
        <v/>
      </c>
      <c r="B35" s="4" t="inlineStr">
        <is>
          <t>1. Fixed frequency filter issue on the jobs page.
2. Implemented the feature of showing statistics of the manuals in the manuals page.
3. Added a status modal displaying which all pages was extracted in the manuals  page.</t>
        </is>
      </c>
    </row>
    <row r="36">
      <c r="A36" s="3">
        <f>DATE(2026, 8, 13)</f>
        <v/>
      </c>
      <c r="B36" s="4" t="inlineStr">
        <is>
          <t>1. Modified the application to allow any size of manual upload as per DInesh and Karthik requirement.
2. Tried implementing the cost analysis from the claude console through API but it requires Admin_Key which I'll be further investigating and further query on this.</t>
        </is>
      </c>
    </row>
    <row r="37">
      <c r="A37" s="3">
        <f>DATE(2026, 8, 14)</f>
        <v/>
      </c>
      <c r="B37" s="4" t="inlineStr">
        <is>
          <t>DInesh and Karthik had pointed out few issues, I have been working on that, It is not yet completed, I'll be continuing to work on that.
* QC review status is by default accepted need to fix it to be pending 
* Import components, jobs and spares must be implemented individually
* Job titles must be in proper format 
* Component must be mapped properly
* Must integrate the Admin_API key for claude console</t>
        </is>
      </c>
    </row>
    <row r="38">
      <c r="A38" s="3">
        <f>DATE(2026, 8, 17)</f>
        <v/>
      </c>
      <c r="B38" s="4" t="inlineStr">
        <is>
          <t>1. QC review status is by default accepted need to fix it to be pending 
2. Import components, jobs and spares must be implemented individually
3. Job Titles creation must adhere to match a list of already existing titles which was discussed by Karthik and Rajeshwari.</t>
        </is>
      </c>
    </row>
    <row r="39">
      <c r="A39" s="3">
        <f>DATE(2026, 8, 18)</f>
        <v/>
      </c>
      <c r="B39" s="4" t="inlineStr">
        <is>
          <t>working on PMS Extract tool on preparing job description and job title creation.
Preparing job description: 
Need to modify how the AI extracts and writes onto the description.
Job title creation:
Need to match with the preset library for titles and generate a title for it.</t>
        </is>
      </c>
    </row>
    <row r="40">
      <c r="A40" s="3">
        <f>DATE(2026, 8, 19)</f>
        <v/>
      </c>
      <c r="B40" s="4" t="inlineStr">
        <is>
          <t>1. I have shifted the jobs_title table to the already existing jobs library for jobs title matching as per Dinesh's advice.
2. Had communicated with Karthik to understand the requirement on the job procedure change and applied the change to the future ones and also to the already existing data. (appending /*-)
3. Changed the job titles with a pass to adhere to the Karthiik and Rajeshwari explained requirement.</t>
        </is>
      </c>
    </row>
    <row r="41">
      <c r="A41" s="3">
        <f>DATE(2026, 8, 20)</f>
        <v/>
      </c>
      <c r="B41" s="4" t="inlineStr">
        <is>
          <t>I communicated with Karthik, Rajeswari and got clarifications on the changes that are required and how it must be processed for the job title creation. 
The component extraction is poor in the existing job extraction
The job titles need to follow naming from the pre listed job titles for already existing ones and new formatted job titles for the newer jobs.</t>
        </is>
      </c>
    </row>
    <row r="42">
      <c r="A42" s="3">
        <f>DATE(2026, 8, 21)</f>
        <v/>
      </c>
      <c r="B42" s="4" t="inlineStr">
        <is>
          <t>worked on an issue with the spares extraction.
The spare extraction extracted the parts column as itself to be spares with spare number. This was because the process was made such that the page was split if there are tables. This works for japanese manuals but this caused issue with the manuals processed today. I changed it to process the page entirely without any split. I have asked Rajeswari to give feedback on the change to further on take decision on this.
Apart from this I also worked on component extraction for jobs to have accuracy.</t>
        </is>
      </c>
    </row>
    <row r="43">
      <c r="A43" s="3">
        <f>DATE(2026, 8, 24)</f>
        <v/>
      </c>
      <c r="B43" s="4" t="inlineStr">
        <is>
          <t>worked on PMS extract tool job extracting and mapping the titles &amp; components.
The components needed to be identified against the maker model and other details to accurately identify the component.
The job titles had to follow procedures in naming,
For newer job titles, the titles must be
Component - Job Action
If duplicates,
Component - Job Body - Job Action
For titles existing in the global jobs library it must pick the titles from job library.
Also the job procedure and frequency needed to be used to determine the job titles.
I'll be testing this changes against the live manuals along with Karthik today.</t>
        </is>
      </c>
    </row>
    <row r="44">
      <c r="A44" s="3">
        <f>DATE(2026, 8, 25)</f>
        <v/>
      </c>
      <c r="B44" s="4" t="inlineStr">
        <is>
          <t>worked on PMS extract tool to generate appropriate job titles, Also there was a production issue where the manuals were hanging with the extraction progress and no spares were extracted even after completion. I ran a complete analysis on the logs and reported to team on the number of manuals extracted and the number of spares extracted.</t>
        </is>
      </c>
    </row>
    <row r="45">
      <c r="A45" s="3">
        <f>DATE(2026, 8, 26)</f>
        <v/>
      </c>
      <c r="B45" s="4" t="inlineStr">
        <is>
          <t>I was analyzing the statistics of the extraction and supporting the extraction issues for the team. On the second half I was on leave because of personal works I had informed to Dinesh and Nishant on my absence.</t>
        </is>
      </c>
    </row>
    <row r="46">
      <c r="A46" s="3">
        <f>DATE(2026, 8, 27)</f>
        <v/>
      </c>
      <c r="B46" s="4" t="inlineStr">
        <is>
          <t>1. The whole extraction had to be completed to for getting the extracted results, Now I have modified it such that if the extraction passes for single page from the set of pages provided the pages processed will have the extraction irrespective of the completion status.
2. The status modal on the manuals page wasn't loading fresh copy of data when the same manual was opened twice giving us the old data even if there is a change in extraction results. I have changed this to update on everytime the modal opens.
3. On status modal whenever the particular page was clicked the extraction was running for the entire set of pages, I have redefined the process to identify the pages which as passed as reference in the component, jobs and spares and only perform extraction of those on the pages.
4. Included an option to display number of pages without any extraction records even after the page references were provided in the manuals page.
5. Included an option to process the direct manual url link from sharepoint to be ingested into the application.</t>
        </is>
      </c>
    </row>
    <row r="47">
      <c r="A47" s="3">
        <f>DATE(2026, 8, 28)</f>
        <v/>
      </c>
      <c r="B47" s="4" t="inlineStr">
        <is>
          <t>worked on PMS Extract Tool, monitored how the extraction were happening and wrote scripts to improve the accuracy of the extraction.
Also had worked on generating project management sheet for the application upon request from the team for maintaining the logs.</t>
        </is>
      </c>
    </row>
    <row r="48">
      <c r="A48" s="3">
        <f>DATE(2026, 8, 31)</f>
        <v/>
      </c>
      <c r="B48" s="4" t="inlineStr">
        <is>
          <t>worked on monitoring and running extractions for large pages on PMS Extract tool and also fixing issues and improvements to the existing process.
- Implemented timeout for the single page extraction and to skip the page instead of failing the extraction on complete manual
- Implemented confirmation modal for the manual selection to begin extraction as there was a problem where previously selected manuals were also selected along with newer manuals when filter was applied without knowledge leading to re-extraction on the same manual.
- Improvements to the details on the extraction process</t>
        </is>
      </c>
    </row>
    <row r="49">
      <c r="A49" s="3">
        <f>DATE(2026, 9, 1)</f>
        <v/>
      </c>
      <c r="B49" s="4" t="inlineStr">
        <is>
          <t xml:space="preserve">Rajeshwari had issue with exporting the spares for QC. I have resolved it and also she asked for the missing columns in the export, I have added those as well and provided to Rajeshwari.
- I have introduced a modal to display the export progress for the user to know how long the export to excel would take
</t>
        </is>
      </c>
    </row>
    <row r="50">
      <c r="A50" s="3">
        <f>DATE(2026, 9, 2)</f>
        <v/>
      </c>
      <c r="B50" s="4" t="inlineStr">
        <is>
          <t xml:space="preserve">worked on PMS extract extraction issues on spares as reported by Rajeshwari and also manually analysed the issue and extracted all the manuals for jobs and spares on the mentioned reference pages.
</t>
        </is>
      </c>
    </row>
    <row r="51">
      <c r="A51" s="3">
        <f>DATE(2026, 9, 3)</f>
        <v/>
      </c>
      <c r="B51" s="4" t="inlineStr">
        <is>
          <t xml:space="preserve">worked on extraction of failed manuals around 6, reported by Karthik on jobs and Rajeshwari on spares. I fixed the failed scenario and had run the extraction on those manuals.
</t>
        </is>
      </c>
    </row>
    <row r="52">
      <c r="A52" s="3">
        <f>DATE(2026, 9, 4)</f>
        <v/>
      </c>
      <c r="B52" s="4" t="inlineStr">
        <is>
          <t>Communicated with Karthik regarding the missing of jobs extraction of few manuals which had been already manually extracted and not available on the application.
I worked on creating the project management sheet for the team and shared it along with the team</t>
        </is>
      </c>
    </row>
    <row r="53">
      <c r="A53" s="3">
        <f>DATE(2026, 9, 7)</f>
        <v/>
      </c>
      <c r="B53" s="4" t="inlineStr">
        <is>
          <t>I worked on PMS extract tool to find an efficient way to handle the extraction at lower cost and accuracy</t>
        </is>
      </c>
    </row>
    <row r="54">
      <c r="A54" s="3">
        <f>DATE(2026, 9, 8)</f>
        <v/>
      </c>
      <c r="B54" s="4" t="inlineStr">
        <is>
          <t>I worked on extracting the jobs which Karthik had reported to be extraction failure for 6 manuals, I also checked the spares extraction to be in proper order during extraction.</t>
        </is>
      </c>
    </row>
    <row r="55">
      <c r="A55" s="3">
        <f>DATE(2026, 9, 9)</f>
        <v/>
      </c>
      <c r="B55" s="4" t="inlineStr">
        <is>
          <t>I worked on following in PMS Extract Tool
- Corrected the manuals page, No extracted records modal to display only the manuals which has page references in component, jobs and spares and ignore the screened pages and those that doesn't have page references.
- In components, jobs and spares the QC export when the manual source is filtered and exported, Now the filename contains the reference of the manual name along with the vessel name.
- Checked about the implementation of chat bot agent which can answer the user queries directly executing database commands in real-time, checking with the data security on this approach and other development aspects.</t>
        </is>
      </c>
    </row>
    <row r="56">
      <c r="A56" s="3">
        <f>DATE(2026, 9, 10)</f>
        <v/>
      </c>
      <c r="B56" s="4" t="inlineStr">
        <is>
          <t xml:space="preserve"> I have worked on PMS extraction tool and performed a feasibility study on an idea to implement identification of duplicate manuals across vessels. I checked with the strategy on what works best for us.
After the upload and screened page references are added, The system checks during extraction, if same data is available in database records, if match is found then the application pops to user for intervention for a minute and if no response is provided then the extraction on that manual is paused and extraction proceeds with the other set of manuals. I checked with the system screening during upload, that won't work with image type manuals or distinct manuals.</t>
        </is>
      </c>
    </row>
    <row r="57">
      <c r="A57" s="3">
        <f>DATE(2026, 9, 11)</f>
        <v/>
      </c>
      <c r="B57" s="4" t="inlineStr">
        <is>
          <t>I worked on the team raised issue.
Spare Extraction improvements:
1. Spare parts should be extracted only from the English-language column. All other language columns should be ignored. The same logic should also be applied to Job Extraction.
2. Part Numbers are being extracted incorrectly and need to be validated.
3. PDF names are being captured in the Part Number or Drawing Number columns when no relevant data is available. These fields should be left blank if the information is not found in the manual.
4. Some Spare Names contains along with the specification are currently being captured together in the Part Name column. These details should be separated, with the spare name captured in the Part Name column and the additional details captured in the Specification column.</t>
        </is>
      </c>
    </row>
    <row r="58">
      <c r="A58" s="3">
        <f>DATE(2026, 9, 15)</f>
        <v/>
      </c>
      <c r="B58" s="4" t="inlineStr">
        <is>
          <t>I worked on PMS extract tool on the previous implementation to test back the changes.
Raised by Rajeshwari
1. Spare parts should be extracted only from the English-language column. All other language columns should be ignored. The same logic should also be applied to Job Extraction.
2. Part Numbers are being extracted incorrectly and need to be validated.
3. PDF names are being captured in the Part Number or Drawing Number columns when no relevant data is available. These fields should be left blank if the information is not found in the manual.
4. Some Spare Names contains along with the specification are currently being captured together in the Part Name column. These details should be separated, with the spare name captured in the Part Name column and the additional details captured in the Specification column.
Raised by Karthik
Spare extraction:
1. Part name, Assembly and Assembly Description to be in Proper Text.
2. Specification to be captured as per the same format from Manual.
3. Maker, Model, Drawing number to be in All Caps
The development was slow as there was issues with the network traffic. I haven't completed this changes for these yet, This needs discussion with the team on individual entry to confirm if it is working as expected or it need further improvements. These changes needs time till this week for completion.</t>
        </is>
      </c>
    </row>
    <row r="59">
      <c r="A59" s="3">
        <f>DATE(2026, 9, 16)</f>
        <v/>
      </c>
      <c r="B59" s="4" t="inlineStr">
        <is>
          <t>I worked on the issues reported by Karthik on PMS extract tool,
Where he had reported that on spares the specification details aren't captured properly for some particular pages in manual.
The specifications was with PCS, instead of 4 PCS  The requirement was to include the table header title along with the value.
I have worked on that and gave an update to the production repository.
I'll be further communicating with Karthik to get his feedbacks on the implemented changes.</t>
        </is>
      </c>
    </row>
    <row r="60">
      <c r="A60" s="3">
        <f>DATE(2026, 9, 17)</f>
        <v/>
      </c>
      <c r="B60" s="4" t="inlineStr">
        <is>
          <t>I worked on the issues reported by Karthik on PMS extract tool,
Where he had reported that on spares the specification details aren't captured properly for some particular pages in manual.
The specifications was with PCS, instead of 4 PCS  The requirement was to include the table header title along with the value.
I have worked on that and gave an update to the production repository.
I'll be further communicating with Karthik to get his feedbacks on the implemented changes.</t>
        </is>
      </c>
    </row>
    <row r="61">
      <c r="A61" s="3">
        <f>DATE(2026, 9, 18)</f>
        <v/>
      </c>
      <c r="B61" s="4" t="inlineStr">
        <is>
          <t>Karthik and Rajeswari raised issues.
Karthik had reached out to me about the irregularities in preserving older records without overriding the previous ones in the QC export of spares, Where this was fixed in the table records previously. I had worked on this.</t>
        </is>
      </c>
    </row>
    <row r="62">
      <c r="A62" s="3">
        <f>DATE(2026, 9, 21)</f>
        <v/>
      </c>
      <c r="B62" s="4" t="inlineStr">
        <is>
          <t>Spare extraction:
1. Part name, Assembly and Assembly Description to be in Proper Text. (Each word should start with a Caps.)
2. Specification to be captured as per the same format from Manual.
3. Maker, Model, Drawing number to be in All Caps
Karthik had reported that the QC export of spares has the duplicates, I worked on fixing it.</t>
        </is>
      </c>
    </row>
    <row r="63">
      <c r="A63" s="3">
        <f>DATE(2026, 9, 22)</f>
        <v/>
      </c>
      <c r="B63" s="4" t="inlineStr">
        <is>
          <t xml:space="preserve"> worked on following,
1. Duplicates in the spares QC export was removed and measures were applied as to no duplicates in future must arise.
2. Had a call with Amit to get the further requirements on development of the website, Got inputs on generating the certificates. </t>
        </is>
      </c>
    </row>
    <row r="64">
      <c r="A64" s="3">
        <f>DATE(2026, 9, 23)</f>
        <v/>
      </c>
      <c r="B64" s="4" t="inlineStr">
        <is>
          <t>1. Introduced the filter option in snip and extract for jobs, spares for the manual source selection.
2. Communicated with Karthik for getting the updates on the recently pushed changes.</t>
        </is>
      </c>
    </row>
    <row r="65">
      <c r="A65" s="3">
        <f>DATE(2026, 9, 28)</f>
        <v/>
      </c>
      <c r="B65" s="4" t="inlineStr">
        <is>
          <t>I'm following up with the team to get inputs regarding the fixes.</t>
        </is>
      </c>
    </row>
    <row r="66">
      <c r="A66" s="3">
        <f>DATE(2026, 9, 29)</f>
        <v/>
      </c>
      <c r="B66" s="4" t="inlineStr">
        <is>
          <t>I worked on adding the multi-tab feature into the PMS extract tool on staging for confirmation for integrating it to production use after team's acceptance.</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25.63" customWidth="1" style="30" min="1" max="2"/>
    <col width="16.25" customWidth="1" style="30" min="3" max="3"/>
    <col width="15.75" customWidth="1" style="30" min="4" max="4"/>
    <col width="6.75" customWidth="1" style="30" min="5" max="5"/>
    <col width="93" customWidth="1" style="30" min="6" max="6"/>
    <col width="20.25" customWidth="1" style="30" min="7" max="7"/>
    <col width="28" customWidth="1" style="30" min="8" max="8"/>
    <col width="17.5" customWidth="1" style="30" min="9" max="9"/>
    <col width="28.63" customWidth="1" style="30" min="10" max="10"/>
  </cols>
  <sheetData>
    <row r="1">
      <c r="A1" s="5" t="inlineStr">
        <is>
          <t>Bug No.</t>
        </is>
      </c>
      <c r="B1" s="6" t="inlineStr">
        <is>
          <t>Date</t>
        </is>
      </c>
      <c r="C1" s="7" t="inlineStr">
        <is>
          <t>Vessel Name</t>
        </is>
      </c>
      <c r="D1" s="7" t="inlineStr">
        <is>
          <t>PDF Name/Pg. No</t>
        </is>
      </c>
      <c r="E1" s="7" t="inlineStr">
        <is>
          <t>Priority</t>
        </is>
      </c>
      <c r="F1" s="7" t="inlineStr">
        <is>
          <t>Issue</t>
        </is>
      </c>
      <c r="G1" s="7" t="inlineStr">
        <is>
          <t>Status</t>
        </is>
      </c>
      <c r="H1" s="7" t="inlineStr">
        <is>
          <t>QC report</t>
        </is>
      </c>
      <c r="I1" s="4" t="inlineStr">
        <is>
          <t>Remarks</t>
        </is>
      </c>
      <c r="J1" s="4" t="inlineStr">
        <is>
          <t>Expected fix date (on or before)</t>
        </is>
      </c>
    </row>
    <row r="2">
      <c r="A2" s="4" t="inlineStr">
        <is>
          <t>Bug-001</t>
        </is>
      </c>
      <c r="B2" s="13" t="n">
        <v>46274</v>
      </c>
      <c r="C2" s="4" t="inlineStr">
        <is>
          <t>Grafton</t>
        </is>
      </c>
      <c r="D2" s="4" t="n"/>
      <c r="E2" s="4" t="n"/>
      <c r="F2" s="4" t="inlineStr">
        <is>
          <t>Spare extraction:
1. Part name, Assembly and Assembly Description to be in Proper Text. (Each word should start with a Caps.)
2. Specification to be captured as per the same format from Manual.
3. Maker, Model, Drawing number to be in All Caps</t>
        </is>
      </c>
      <c r="G2" s="9" t="inlineStr">
        <is>
          <t>Fixed</t>
        </is>
      </c>
      <c r="H2" s="4" t="inlineStr">
        <is>
          <t>Verification pending against live data</t>
        </is>
      </c>
      <c r="I2" s="10" t="inlineStr">
        <is>
          <t>1 and 3 - Still not fixed</t>
        </is>
      </c>
      <c r="J2" s="11" t="n">
        <v>46300</v>
      </c>
    </row>
    <row r="3">
      <c r="A3" s="4" t="inlineStr">
        <is>
          <t>Bug-002</t>
        </is>
      </c>
      <c r="B3" s="13" t="n">
        <v>46275</v>
      </c>
      <c r="C3" s="4" t="inlineStr">
        <is>
          <t>Grafton</t>
        </is>
      </c>
      <c r="D3" s="4" t="n"/>
      <c r="E3" s="4" t="n"/>
      <c r="F3" s="4" t="inlineStr">
        <is>
          <t>Spare Extraction:
1. Spare parts should be extracted only from the English-language column. All other language columns should be ignored. The same logic should also be applied to Job Extraction.
2. Part Numbers are being extracted incorrectly and need to be validated.
3. PDF names are being captured in the Part Number or Drawing Number columns when no relevant data is available. These fields should be left blank if the information is not found in the manual.
4. Some Spare Names contains along with the specification are currently being captured together in the Part Name column. These details should be separated, with the spare name captured in the Part Name column and the additional details captured in the Specification column.</t>
        </is>
      </c>
      <c r="G3" s="18" t="inlineStr">
        <is>
          <t>WIll be discussing with Rajeshwari</t>
        </is>
      </c>
      <c r="J3" s="11" t="n">
        <v>46302</v>
      </c>
    </row>
    <row r="4">
      <c r="A4" s="4" t="inlineStr">
        <is>
          <t>Bug-003</t>
        </is>
      </c>
      <c r="B4" s="13" t="n">
        <v>46281</v>
      </c>
      <c r="C4" s="4" t="inlineStr">
        <is>
          <t>Grafton</t>
        </is>
      </c>
      <c r="D4" s="4" t="n"/>
      <c r="E4" s="4" t="n"/>
      <c r="F4" s="4" t="inlineStr">
        <is>
          <t>Spare Extraction:
1. All spare-related information must be fully documented in the specification.
2. Details should be presented with clear headers (e.g., Quantity: 1 instead of just 1).
3. Materials is the most common data found missing in the specifications.</t>
        </is>
      </c>
      <c r="G4" s="9" t="inlineStr">
        <is>
          <t>Fixed</t>
        </is>
      </c>
      <c r="H4" s="4" t="inlineStr">
        <is>
          <t>Verification pending against live data</t>
        </is>
      </c>
      <c r="I4" s="9" t="inlineStr">
        <is>
          <t>Fixed</t>
        </is>
      </c>
    </row>
    <row r="5">
      <c r="A5" s="4" t="inlineStr">
        <is>
          <t>Bug-004</t>
        </is>
      </c>
      <c r="B5" s="13" t="n">
        <v>46283</v>
      </c>
      <c r="C5" s="4" t="inlineStr">
        <is>
          <t>Grafton</t>
        </is>
      </c>
      <c r="D5" s="4" t="n"/>
      <c r="E5" s="4" t="n"/>
      <c r="F5" s="4" t="inlineStr">
        <is>
          <t>Spare Extraction:
1. Spare must be considered as duplicate only when part name, drawing number, assembly name, position or part number is same. (pending)
2. Part name should be captured as in the manually even if its mispelled or abbrivations.</t>
        </is>
      </c>
      <c r="G5" s="10" t="inlineStr">
        <is>
          <t>Pending(In production)</t>
        </is>
      </c>
      <c r="J5" s="11" t="n">
        <v>46298</v>
      </c>
    </row>
    <row r="6">
      <c r="A6" s="4" t="inlineStr">
        <is>
          <t>Bug-005</t>
        </is>
      </c>
      <c r="B6" s="13" t="n">
        <v>46290</v>
      </c>
      <c r="C6" s="4" t="inlineStr">
        <is>
          <t>Grafton</t>
        </is>
      </c>
      <c r="D6" s="4" t="n"/>
      <c r="E6" s="4" t="n"/>
      <c r="F6" s="4" t="inlineStr">
        <is>
          <t>Spare Extraction:
1. Assembly is captured as Model.</t>
        </is>
      </c>
      <c r="G6" s="10" t="inlineStr">
        <is>
          <t>Pending(In production)</t>
        </is>
      </c>
      <c r="J6" s="11" t="n">
        <v>46300</v>
      </c>
    </row>
    <row r="7">
      <c r="A7" s="4" t="inlineStr">
        <is>
          <t>Bug-006</t>
        </is>
      </c>
      <c r="B7" s="13" t="n">
        <v>46307</v>
      </c>
      <c r="C7" s="4" t="inlineStr">
        <is>
          <t>Grafton</t>
        </is>
      </c>
      <c r="D7" s="4" t="inlineStr">
        <is>
          <t>F-27 LIFE BOAT &amp; RESCUE BOAT (1-2) / M-29 AIR COMPRESSOR (1-2).pdf</t>
        </is>
      </c>
      <c r="E7" s="4" t="inlineStr">
        <is>
          <t>High</t>
        </is>
      </c>
      <c r="F7" s="4" t="inlineStr">
        <is>
          <t>Spare Extraction Issue (Occuring error during extraction in model specific page) - L3 139LB in Life Boat, LT-55 in Compressor file</t>
        </is>
      </c>
      <c r="G7" s="0" t="inlineStr">
        <is>
          <t>Fixed</t>
        </is>
      </c>
      <c r="H7" t="inlineStr">
        <is>
          <t>Verified on Staging: Life Boat Sabb Motor (p. 105) with target model 'L3 139LB' extracted exactly 6 parts strictly for Variant 2 (Y753-10001) with QTY: 2 PCS; Compressor Atlas Copco (p. 188) with target model 'LT-55' extracted exactly 20 parts strictly for LT-55/common parts (all LT22/40 parts excluded). Target Model input provision added to DB, API, ManualReview table, and Page Status modal.</t>
        </is>
      </c>
      <c r="I7" s="0" t="inlineStr">
        <is>
          <t>Commits: 1556173, dcf6588, 0874809, 38492cb</t>
        </is>
      </c>
    </row>
    <row r="8">
      <c r="A8" s="4" t="inlineStr">
        <is>
          <t>Bug-007</t>
        </is>
      </c>
      <c r="B8" s="13" t="n">
        <v>46307</v>
      </c>
      <c r="C8" s="4" t="inlineStr">
        <is>
          <t>Grafton</t>
        </is>
      </c>
      <c r="D8" s="4" t="inlineStr">
        <is>
          <t>F-27 LIFE BOAT &amp; RESCUE BOAT (2-2)</t>
        </is>
      </c>
      <c r="E8" s="4" t="inlineStr">
        <is>
          <t>High</t>
        </is>
      </c>
      <c r="F8" s="4" t="inlineStr">
        <is>
          <t>QTY and Remark Issue (Other details getting merged with QTY)</t>
        </is>
      </c>
    </row>
    <row r="9">
      <c r="A9" s="4" t="inlineStr">
        <is>
          <t>Bug-008</t>
        </is>
      </c>
      <c r="B9" s="13" t="n">
        <v>46310</v>
      </c>
      <c r="C9" s="4" t="inlineStr">
        <is>
          <t>Albert Park</t>
        </is>
      </c>
      <c r="D9" s="4" t="inlineStr">
        <is>
          <t>TSW375HA1002-OMM-01 Maintenance Manual Version A-Issue 20260920</t>
        </is>
      </c>
      <c r="E9" s="4" t="inlineStr">
        <is>
          <t>Medium</t>
        </is>
      </c>
      <c r="F9" s="4" t="inlineStr">
        <is>
          <t>In Job QC, when the reference page in the description is corrected, it creates a duplicate reference page.</t>
        </is>
      </c>
      <c r="G9" s="0" t="inlineStr">
        <is>
          <t>Fixed</t>
        </is>
      </c>
      <c r="I9" s="0" t="inlineStr">
        <is>
          <t>Eliminated duplicate reference pages and synced edited descriptions in Job QC. Deployed to staging.</t>
        </is>
      </c>
    </row>
    <row r="10">
      <c r="A10" s="4" t="inlineStr">
        <is>
          <t>Bug-009</t>
        </is>
      </c>
      <c r="B10" s="13" t="n">
        <v>46310</v>
      </c>
      <c r="C10" s="4" t="inlineStr">
        <is>
          <t>Albert Park</t>
        </is>
      </c>
      <c r="D10" s="4" t="inlineStr">
        <is>
          <t>TSW375HA1002-OMM-01 Maintenance Manual Version A-Issue 20260920</t>
        </is>
      </c>
      <c r="E10" s="4" t="inlineStr">
        <is>
          <t>Medium</t>
        </is>
      </c>
      <c r="F10" s="4" t="inlineStr">
        <is>
          <t>When the frequency is mentioned in range, lowest frequency should be always captured.
For EX: Frequency 4-6 months, Frequency is 4 months but AI is capturing as 5 months.</t>
        </is>
      </c>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55.63" customWidth="1" style="30" min="1" max="1"/>
    <col width="15.38" customWidth="1" style="30" min="3" max="3"/>
    <col width="20.75" customWidth="1" style="30" min="5" max="5"/>
  </cols>
  <sheetData>
    <row r="1">
      <c r="A1" s="14" t="inlineStr">
        <is>
          <t>Title</t>
        </is>
      </c>
      <c r="B1" s="15" t="inlineStr">
        <is>
          <t>Date created</t>
        </is>
      </c>
      <c r="C1" s="14" t="inlineStr">
        <is>
          <t>Requirement from</t>
        </is>
      </c>
      <c r="D1" s="16" t="inlineStr">
        <is>
          <t>Status</t>
        </is>
      </c>
      <c r="E1" s="17" t="inlineStr">
        <is>
          <t>Expected date to complete</t>
        </is>
      </c>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c r="A2" s="18" t="inlineStr">
        <is>
          <t>Chat bot feature to get insightful answers from the application</t>
        </is>
      </c>
      <c r="B2" s="19" t="n">
        <v>46273</v>
      </c>
      <c r="C2" s="18" t="inlineStr">
        <is>
          <t>Dinesh</t>
        </is>
      </c>
      <c r="D2" s="20" t="inlineStr">
        <is>
          <t>pending</t>
        </is>
      </c>
      <c r="E2" s="23" t="inlineStr">
        <is>
          <t>23-10-2026</t>
        </is>
      </c>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c r="A3" s="18" t="inlineStr">
        <is>
          <t>Dashboard improvements</t>
        </is>
      </c>
      <c r="B3" s="19" t="n">
        <v>46273</v>
      </c>
      <c r="C3" s="18" t="inlineStr">
        <is>
          <t>Dinesh</t>
        </is>
      </c>
      <c r="D3" s="20" t="inlineStr">
        <is>
          <t>pending</t>
        </is>
      </c>
      <c r="E3" s="23" t="inlineStr">
        <is>
          <t>15-10-2026</t>
        </is>
      </c>
      <c r="F3" s="18" t="n"/>
      <c r="G3" s="18" t="n"/>
      <c r="H3" s="18" t="n"/>
      <c r="I3" s="18" t="n"/>
      <c r="J3" s="18" t="n"/>
      <c r="K3" s="18" t="n"/>
      <c r="L3" s="18" t="n"/>
      <c r="M3" s="18" t="n"/>
      <c r="N3" s="18" t="n"/>
      <c r="O3" s="18" t="n"/>
      <c r="P3" s="18" t="n"/>
      <c r="Q3" s="18" t="n"/>
      <c r="R3" s="18" t="n"/>
      <c r="S3" s="18" t="n"/>
      <c r="T3" s="18" t="n"/>
      <c r="U3" s="18" t="n"/>
      <c r="V3" s="18" t="n"/>
      <c r="W3" s="18" t="n"/>
      <c r="X3" s="18" t="n"/>
      <c r="Y3" s="18" t="n"/>
      <c r="Z3" s="18" t="n"/>
    </row>
    <row r="4">
      <c r="A4" s="18" t="inlineStr">
        <is>
          <t>Duplicate manual detection feature against existing manuals</t>
        </is>
      </c>
      <c r="B4" s="19" t="n">
        <v>46275</v>
      </c>
      <c r="C4" s="18" t="inlineStr">
        <is>
          <t>Dinesh</t>
        </is>
      </c>
      <c r="D4" s="20" t="inlineStr">
        <is>
          <t>pending</t>
        </is>
      </c>
      <c r="E4" s="19" t="n">
        <v>46244</v>
      </c>
      <c r="F4" s="18" t="n"/>
      <c r="G4" s="18" t="n"/>
      <c r="H4" s="18" t="n"/>
      <c r="I4" s="18" t="n"/>
      <c r="J4" s="18" t="n"/>
      <c r="K4" s="18" t="n"/>
      <c r="L4" s="18" t="n"/>
      <c r="M4" s="18" t="n"/>
      <c r="N4" s="18" t="n"/>
      <c r="O4" s="18" t="n"/>
      <c r="P4" s="18" t="n"/>
      <c r="Q4" s="18" t="n"/>
      <c r="R4" s="18" t="n"/>
      <c r="S4" s="18" t="n"/>
      <c r="T4" s="18" t="n"/>
      <c r="U4" s="18" t="n"/>
      <c r="V4" s="18" t="n"/>
      <c r="W4" s="18" t="n"/>
      <c r="X4" s="18" t="n"/>
      <c r="Y4" s="18" t="n"/>
      <c r="Z4" s="18" t="n"/>
    </row>
    <row r="5">
      <c r="A5" s="18" t="inlineStr">
        <is>
          <t>Audit Log to be provided for each individual components, spares and jobs. I suggest to replace column Method to be replace as Audit with all the details including first extraction and subsequent edit.</t>
        </is>
      </c>
      <c r="B5" s="23" t="inlineStr">
        <is>
          <t>25-06-2026</t>
        </is>
      </c>
      <c r="C5" s="18" t="inlineStr">
        <is>
          <t>Karthik</t>
        </is>
      </c>
      <c r="D5" s="20" t="inlineStr">
        <is>
          <t>pending</t>
        </is>
      </c>
      <c r="E5" s="22" t="n">
        <v>46213</v>
      </c>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s="18" t="inlineStr">
        <is>
          <t>Apply distinct themes and styling for the application</t>
        </is>
      </c>
      <c r="B6" s="23" t="inlineStr">
        <is>
          <t>30-09-2026</t>
        </is>
      </c>
      <c r="C6" s="18" t="inlineStr">
        <is>
          <t>Dinesh</t>
        </is>
      </c>
      <c r="D6" s="20" t="inlineStr">
        <is>
          <t>pending</t>
        </is>
      </c>
      <c r="E6" s="23" t="inlineStr">
        <is>
          <t>15-10-2026</t>
        </is>
      </c>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s="18" t="inlineStr">
        <is>
          <t>Training the AI if possible to recognise the manuals and on how to handle distinct manuals</t>
        </is>
      </c>
      <c r="B7" s="23" t="inlineStr">
        <is>
          <t>30-09-2026</t>
        </is>
      </c>
      <c r="C7" s="18" t="n"/>
      <c r="D7" s="20" t="inlineStr">
        <is>
          <t>pending</t>
        </is>
      </c>
      <c r="E7" s="23" t="inlineStr">
        <is>
          <t>15-11-2026</t>
        </is>
      </c>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18" t="inlineStr">
        <is>
          <t>Add Hull Number column and make it mandatory while creating a project, as Hull Number is used as Machinery Model incase if it is not available in the manual</t>
        </is>
      </c>
      <c r="B8" s="23" t="inlineStr">
        <is>
          <t>15-10-2026</t>
        </is>
      </c>
      <c r="C8" s="18" t="inlineStr">
        <is>
          <t>Karthik</t>
        </is>
      </c>
      <c r="D8" s="18" t="inlineStr">
        <is>
          <t>Pending</t>
        </is>
      </c>
      <c r="E8" s="23"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18" t="inlineStr">
        <is>
          <t>Complete PDF to be displayed along with the current setup in the job edit page</t>
        </is>
      </c>
      <c r="B9" s="23" t="inlineStr">
        <is>
          <t>15-10-2026</t>
        </is>
      </c>
      <c r="C9" s="18" t="inlineStr">
        <is>
          <t>Karthik</t>
        </is>
      </c>
      <c r="D9" s="18" t="inlineStr">
        <is>
          <t>Pending</t>
        </is>
      </c>
      <c r="E9" s="23"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23" t="n"/>
      <c r="C10" s="18" t="n"/>
      <c r="D10" s="18" t="n"/>
      <c r="E10" s="23"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23" t="n"/>
      <c r="C11" s="18" t="n"/>
      <c r="D11" s="18" t="n"/>
      <c r="E11" s="23"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23" t="n"/>
      <c r="C12" s="18" t="n"/>
      <c r="D12" s="18" t="n"/>
      <c r="E12" s="23"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23" t="n"/>
      <c r="C13" s="18" t="n"/>
      <c r="D13" s="18" t="n"/>
      <c r="E13" s="23"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23" t="n"/>
      <c r="C14" s="18" t="n"/>
      <c r="D14" s="18" t="n"/>
      <c r="E14" s="23"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23" t="n"/>
      <c r="C15" s="18" t="n"/>
      <c r="D15" s="18" t="n"/>
      <c r="E15" s="23"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23" t="n"/>
      <c r="C16" s="18" t="n"/>
      <c r="D16" s="18" t="n"/>
      <c r="E16" s="23"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23" t="n"/>
      <c r="C17" s="18" t="n"/>
      <c r="D17" s="18" t="n"/>
      <c r="E17" s="23"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23" t="n"/>
      <c r="C18" s="18" t="n"/>
      <c r="D18" s="18" t="n"/>
      <c r="E18" s="23"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23" t="n"/>
      <c r="C19" s="18" t="n"/>
      <c r="D19" s="18" t="n"/>
      <c r="E19" s="23"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23" t="n"/>
      <c r="C20" s="18" t="n"/>
      <c r="D20" s="18" t="n"/>
      <c r="E20" s="23"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18" t="n"/>
      <c r="B21" s="23" t="n"/>
      <c r="C21" s="18" t="n"/>
      <c r="D21" s="18" t="n"/>
      <c r="E21" s="23"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s="18" t="n"/>
      <c r="B22" s="23" t="n"/>
      <c r="C22" s="18" t="n"/>
      <c r="D22" s="18" t="n"/>
      <c r="E22" s="23"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s="18" t="n"/>
      <c r="B23" s="23" t="n"/>
      <c r="C23" s="18" t="n"/>
      <c r="D23" s="18" t="n"/>
      <c r="E23" s="23"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s="18" t="n"/>
      <c r="B24" s="23" t="n"/>
      <c r="C24" s="18" t="n"/>
      <c r="D24" s="18" t="n"/>
      <c r="E24" s="23"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s="18" t="n"/>
      <c r="B25" s="23" t="n"/>
      <c r="C25" s="18" t="n"/>
      <c r="D25" s="18" t="n"/>
      <c r="E25" s="23"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s="18" t="n"/>
      <c r="B26" s="23" t="n"/>
      <c r="C26" s="18" t="n"/>
      <c r="D26" s="18" t="n"/>
      <c r="E26" s="23"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s="18" t="n"/>
      <c r="B27" s="23" t="n"/>
      <c r="C27" s="18" t="n"/>
      <c r="D27" s="18" t="n"/>
      <c r="E27" s="23"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s="18" t="n"/>
      <c r="B28" s="23" t="n"/>
      <c r="C28" s="18" t="n"/>
      <c r="D28" s="18" t="n"/>
      <c r="E28" s="23"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s="18" t="n"/>
      <c r="B29" s="23" t="n"/>
      <c r="C29" s="18" t="n"/>
      <c r="D29" s="18" t="n"/>
      <c r="E29" s="23"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s="18" t="n"/>
      <c r="B30" s="23" t="n"/>
      <c r="C30" s="18" t="n"/>
      <c r="D30" s="18" t="n"/>
      <c r="E30" s="23"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s="18" t="n"/>
      <c r="B31" s="23" t="n"/>
      <c r="C31" s="18" t="n"/>
      <c r="D31" s="18" t="n"/>
      <c r="E31" s="23"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s="18" t="n"/>
      <c r="B32" s="23" t="n"/>
      <c r="C32" s="18" t="n"/>
      <c r="D32" s="18" t="n"/>
      <c r="E32" s="23"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s="18" t="n"/>
      <c r="B33" s="23" t="n"/>
      <c r="C33" s="18" t="n"/>
      <c r="D33" s="18" t="n"/>
      <c r="E33" s="23"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s="18" t="n"/>
      <c r="B34" s="23" t="n"/>
      <c r="C34" s="18" t="n"/>
      <c r="D34" s="18" t="n"/>
      <c r="E34" s="23"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s="18" t="n"/>
      <c r="B35" s="23" t="n"/>
      <c r="C35" s="18" t="n"/>
      <c r="D35" s="18" t="n"/>
      <c r="E35" s="23"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s="18" t="n"/>
      <c r="B36" s="23" t="n"/>
      <c r="C36" s="18" t="n"/>
      <c r="D36" s="18" t="n"/>
      <c r="E36" s="23"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s="18" t="n"/>
      <c r="B37" s="23" t="n"/>
      <c r="C37" s="18" t="n"/>
      <c r="D37" s="18" t="n"/>
      <c r="E37" s="23"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s="18" t="n"/>
      <c r="B38" s="23" t="n"/>
      <c r="C38" s="18" t="n"/>
      <c r="D38" s="18" t="n"/>
      <c r="E38" s="23"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s="18" t="n"/>
      <c r="B39" s="23" t="n"/>
      <c r="C39" s="18" t="n"/>
      <c r="D39" s="18" t="n"/>
      <c r="E39" s="23"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s="18" t="n"/>
      <c r="B40" s="23" t="n"/>
      <c r="C40" s="18" t="n"/>
      <c r="D40" s="18" t="n"/>
      <c r="E40" s="23"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s="18" t="n"/>
      <c r="B41" s="23" t="n"/>
      <c r="C41" s="18" t="n"/>
      <c r="D41" s="18" t="n"/>
      <c r="E41" s="23"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s="18" t="n"/>
      <c r="B42" s="23" t="n"/>
      <c r="C42" s="18" t="n"/>
      <c r="D42" s="18" t="n"/>
      <c r="E42" s="23"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s="18" t="n"/>
      <c r="B43" s="23" t="n"/>
      <c r="C43" s="18" t="n"/>
      <c r="D43" s="18" t="n"/>
      <c r="E43" s="23"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s="18" t="n"/>
      <c r="B44" s="23" t="n"/>
      <c r="C44" s="18" t="n"/>
      <c r="D44" s="18" t="n"/>
      <c r="E44" s="23"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c r="A45" s="18" t="n"/>
      <c r="B45" s="23" t="n"/>
      <c r="C45" s="18" t="n"/>
      <c r="D45" s="18" t="n"/>
      <c r="E45" s="23"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row>
    <row r="46">
      <c r="A46" s="18" t="n"/>
      <c r="B46" s="23" t="n"/>
      <c r="C46" s="18" t="n"/>
      <c r="D46" s="18" t="n"/>
      <c r="E46" s="23"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row>
    <row r="47">
      <c r="A47" s="18" t="n"/>
      <c r="B47" s="23" t="n"/>
      <c r="C47" s="18" t="n"/>
      <c r="D47" s="18" t="n"/>
      <c r="E47" s="23"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c r="A48" s="18" t="n"/>
      <c r="B48" s="23" t="n"/>
      <c r="C48" s="18" t="n"/>
      <c r="D48" s="18" t="n"/>
      <c r="E48" s="23"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c r="A49" s="18" t="n"/>
      <c r="B49" s="23" t="n"/>
      <c r="C49" s="18" t="n"/>
      <c r="D49" s="18" t="n"/>
      <c r="E49" s="23"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c r="A50" s="18" t="n"/>
      <c r="B50" s="23" t="n"/>
      <c r="C50" s="18" t="n"/>
      <c r="D50" s="18" t="n"/>
      <c r="E50" s="23"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c r="A51" s="18" t="n"/>
      <c r="B51" s="23" t="n"/>
      <c r="C51" s="18" t="n"/>
      <c r="D51" s="18" t="n"/>
      <c r="E51" s="23"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c r="A52" s="18" t="n"/>
      <c r="B52" s="23" t="n"/>
      <c r="C52" s="18" t="n"/>
      <c r="D52" s="18" t="n"/>
      <c r="E52" s="23"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c r="A53" s="18" t="n"/>
      <c r="B53" s="23" t="n"/>
      <c r="C53" s="18" t="n"/>
      <c r="D53" s="18" t="n"/>
      <c r="E53" s="23"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c r="A54" s="18" t="n"/>
      <c r="B54" s="23" t="n"/>
      <c r="C54" s="18" t="n"/>
      <c r="D54" s="18" t="n"/>
      <c r="E54" s="23"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c r="A55" s="18" t="n"/>
      <c r="B55" s="23" t="n"/>
      <c r="C55" s="18" t="n"/>
      <c r="D55" s="18" t="n"/>
      <c r="E55" s="23"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c r="A56" s="18" t="n"/>
      <c r="B56" s="23" t="n"/>
      <c r="C56" s="18" t="n"/>
      <c r="D56" s="18" t="n"/>
      <c r="E56" s="23"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c r="A57" s="18" t="n"/>
      <c r="B57" s="23" t="n"/>
      <c r="C57" s="18" t="n"/>
      <c r="D57" s="18" t="n"/>
      <c r="E57" s="23"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c r="A58" s="18" t="n"/>
      <c r="B58" s="23" t="n"/>
      <c r="C58" s="18" t="n"/>
      <c r="D58" s="18" t="n"/>
      <c r="E58" s="23"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c r="A59" s="18" t="n"/>
      <c r="B59" s="23" t="n"/>
      <c r="C59" s="18" t="n"/>
      <c r="D59" s="18" t="n"/>
      <c r="E59" s="23"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c r="A60" s="18" t="n"/>
      <c r="B60" s="23" t="n"/>
      <c r="C60" s="18" t="n"/>
      <c r="D60" s="18" t="n"/>
      <c r="E60" s="23"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c r="A61" s="18" t="n"/>
      <c r="B61" s="23" t="n"/>
      <c r="C61" s="18" t="n"/>
      <c r="D61" s="18" t="n"/>
      <c r="E61" s="23"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c r="A62" s="18" t="n"/>
      <c r="B62" s="23" t="n"/>
      <c r="C62" s="18" t="n"/>
      <c r="D62" s="18" t="n"/>
      <c r="E62" s="23"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c r="A63" s="18" t="n"/>
      <c r="B63" s="23" t="n"/>
      <c r="C63" s="18" t="n"/>
      <c r="D63" s="18" t="n"/>
      <c r="E63" s="23"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c r="A64" s="18" t="n"/>
      <c r="B64" s="23" t="n"/>
      <c r="C64" s="18" t="n"/>
      <c r="D64" s="18" t="n"/>
      <c r="E64" s="23"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c r="A65" s="18" t="n"/>
      <c r="B65" s="23" t="n"/>
      <c r="C65" s="18" t="n"/>
      <c r="D65" s="18" t="n"/>
      <c r="E65" s="23"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c r="A66" s="18" t="n"/>
      <c r="B66" s="23" t="n"/>
      <c r="C66" s="18" t="n"/>
      <c r="D66" s="18" t="n"/>
      <c r="E66" s="23"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c r="A67" s="18" t="n"/>
      <c r="B67" s="23" t="n"/>
      <c r="C67" s="18" t="n"/>
      <c r="D67" s="18" t="n"/>
      <c r="E67" s="23"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c r="A68" s="18" t="n"/>
      <c r="B68" s="23" t="n"/>
      <c r="C68" s="18" t="n"/>
      <c r="D68" s="18" t="n"/>
      <c r="E68" s="23"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c r="A69" s="18" t="n"/>
      <c r="B69" s="23" t="n"/>
      <c r="C69" s="18" t="n"/>
      <c r="D69" s="18" t="n"/>
      <c r="E69" s="23"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c r="A70" s="18" t="n"/>
      <c r="B70" s="23" t="n"/>
      <c r="C70" s="18" t="n"/>
      <c r="D70" s="18" t="n"/>
      <c r="E70" s="23"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c r="A71" s="18" t="n"/>
      <c r="B71" s="23" t="n"/>
      <c r="C71" s="18" t="n"/>
      <c r="D71" s="18" t="n"/>
      <c r="E71" s="23"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c r="A72" s="18" t="n"/>
      <c r="B72" s="23" t="n"/>
      <c r="C72" s="18" t="n"/>
      <c r="D72" s="18" t="n"/>
      <c r="E72" s="23"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c r="A73" s="18" t="n"/>
      <c r="B73" s="23" t="n"/>
      <c r="C73" s="18" t="n"/>
      <c r="D73" s="18" t="n"/>
      <c r="E73" s="23"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c r="A74" s="18" t="n"/>
      <c r="B74" s="23" t="n"/>
      <c r="C74" s="18" t="n"/>
      <c r="D74" s="18" t="n"/>
      <c r="E74" s="23"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c r="A75" s="18" t="n"/>
      <c r="B75" s="23" t="n"/>
      <c r="C75" s="18" t="n"/>
      <c r="D75" s="18" t="n"/>
      <c r="E75" s="23"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c r="A76" s="18" t="n"/>
      <c r="B76" s="23" t="n"/>
      <c r="C76" s="18" t="n"/>
      <c r="D76" s="18" t="n"/>
      <c r="E76" s="23"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c r="A77" s="18" t="n"/>
      <c r="B77" s="23" t="n"/>
      <c r="C77" s="18" t="n"/>
      <c r="D77" s="18" t="n"/>
      <c r="E77" s="23"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c r="A78" s="18" t="n"/>
      <c r="B78" s="23" t="n"/>
      <c r="C78" s="18" t="n"/>
      <c r="D78" s="18" t="n"/>
      <c r="E78" s="23"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c r="A79" s="18" t="n"/>
      <c r="B79" s="23" t="n"/>
      <c r="C79" s="18" t="n"/>
      <c r="D79" s="18" t="n"/>
      <c r="E79" s="23"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c r="A80" s="18" t="n"/>
      <c r="B80" s="23" t="n"/>
      <c r="C80" s="18" t="n"/>
      <c r="D80" s="18" t="n"/>
      <c r="E80" s="23"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c r="A81" s="18" t="n"/>
      <c r="B81" s="23" t="n"/>
      <c r="C81" s="18" t="n"/>
      <c r="D81" s="18" t="n"/>
      <c r="E81" s="23"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c r="A82" s="18" t="n"/>
      <c r="B82" s="23" t="n"/>
      <c r="C82" s="18" t="n"/>
      <c r="D82" s="18" t="n"/>
      <c r="E82" s="23"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c r="A83" s="18" t="n"/>
      <c r="B83" s="23" t="n"/>
      <c r="C83" s="18" t="n"/>
      <c r="D83" s="18" t="n"/>
      <c r="E83" s="23"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c r="A84" s="18" t="n"/>
      <c r="B84" s="23" t="n"/>
      <c r="C84" s="18" t="n"/>
      <c r="D84" s="18" t="n"/>
      <c r="E84" s="23"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c r="A85" s="18" t="n"/>
      <c r="B85" s="23" t="n"/>
      <c r="C85" s="18" t="n"/>
      <c r="D85" s="18" t="n"/>
      <c r="E85" s="23"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c r="A86" s="18" t="n"/>
      <c r="B86" s="23" t="n"/>
      <c r="C86" s="18" t="n"/>
      <c r="D86" s="18" t="n"/>
      <c r="E86" s="23"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c r="A87" s="18" t="n"/>
      <c r="B87" s="23" t="n"/>
      <c r="C87" s="18" t="n"/>
      <c r="D87" s="18" t="n"/>
      <c r="E87" s="23"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c r="A88" s="18" t="n"/>
      <c r="B88" s="23" t="n"/>
      <c r="C88" s="18" t="n"/>
      <c r="D88" s="18" t="n"/>
      <c r="E88" s="23"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c r="A89" s="18" t="n"/>
      <c r="B89" s="23" t="n"/>
      <c r="C89" s="18" t="n"/>
      <c r="D89" s="18" t="n"/>
      <c r="E89" s="23"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c r="A90" s="18" t="n"/>
      <c r="B90" s="23" t="n"/>
      <c r="C90" s="18" t="n"/>
      <c r="D90" s="18" t="n"/>
      <c r="E90" s="23"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c r="A91" s="18" t="n"/>
      <c r="B91" s="23" t="n"/>
      <c r="C91" s="18" t="n"/>
      <c r="D91" s="18" t="n"/>
      <c r="E91" s="23"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c r="A92" s="18" t="n"/>
      <c r="B92" s="23" t="n"/>
      <c r="C92" s="18" t="n"/>
      <c r="D92" s="18" t="n"/>
      <c r="E92" s="23"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c r="A93" s="18" t="n"/>
      <c r="B93" s="23" t="n"/>
      <c r="C93" s="18" t="n"/>
      <c r="D93" s="18" t="n"/>
      <c r="E93" s="23"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c r="A94" s="18" t="n"/>
      <c r="B94" s="23" t="n"/>
      <c r="C94" s="18" t="n"/>
      <c r="D94" s="18" t="n"/>
      <c r="E94" s="23"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c r="A95" s="18" t="n"/>
      <c r="B95" s="23" t="n"/>
      <c r="C95" s="18" t="n"/>
      <c r="D95" s="18" t="n"/>
      <c r="E95" s="23"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c r="A96" s="18" t="n"/>
      <c r="B96" s="23" t="n"/>
      <c r="C96" s="18" t="n"/>
      <c r="D96" s="18" t="n"/>
      <c r="E96" s="23"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c r="A97" s="18" t="n"/>
      <c r="B97" s="23" t="n"/>
      <c r="C97" s="18" t="n"/>
      <c r="D97" s="18" t="n"/>
      <c r="E97" s="23"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c r="A98" s="18" t="n"/>
      <c r="B98" s="23" t="n"/>
      <c r="C98" s="18" t="n"/>
      <c r="D98" s="18" t="n"/>
      <c r="E98" s="23"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c r="A99" s="18" t="n"/>
      <c r="B99" s="23" t="n"/>
      <c r="C99" s="18" t="n"/>
      <c r="D99" s="18" t="n"/>
      <c r="E99" s="23"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c r="A100" s="18" t="n"/>
      <c r="B100" s="23" t="n"/>
      <c r="C100" s="18" t="n"/>
      <c r="D100" s="18" t="n"/>
      <c r="E100" s="23"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c r="A101" s="18" t="n"/>
      <c r="B101" s="23" t="n"/>
      <c r="C101" s="18" t="n"/>
      <c r="D101" s="18" t="n"/>
      <c r="E101" s="23"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c r="A102" s="18" t="n"/>
      <c r="B102" s="23" t="n"/>
      <c r="C102" s="18" t="n"/>
      <c r="D102" s="18" t="n"/>
      <c r="E102" s="23"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c r="A103" s="18" t="n"/>
      <c r="B103" s="23" t="n"/>
      <c r="C103" s="18" t="n"/>
      <c r="D103" s="18" t="n"/>
      <c r="E103" s="23"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c r="A104" s="18" t="n"/>
      <c r="B104" s="23" t="n"/>
      <c r="C104" s="18" t="n"/>
      <c r="D104" s="18" t="n"/>
      <c r="E104" s="23"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c r="A105" s="18" t="n"/>
      <c r="B105" s="23" t="n"/>
      <c r="C105" s="18" t="n"/>
      <c r="D105" s="18" t="n"/>
      <c r="E105" s="23"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c r="A106" s="18" t="n"/>
      <c r="B106" s="23" t="n"/>
      <c r="C106" s="18" t="n"/>
      <c r="D106" s="18" t="n"/>
      <c r="E106" s="23"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c r="A107" s="18" t="n"/>
      <c r="B107" s="23" t="n"/>
      <c r="C107" s="18" t="n"/>
      <c r="D107" s="18" t="n"/>
      <c r="E107" s="23"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c r="A108" s="18" t="n"/>
      <c r="B108" s="23" t="n"/>
      <c r="C108" s="18" t="n"/>
      <c r="D108" s="18" t="n"/>
      <c r="E108" s="23"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c r="A109" s="18" t="n"/>
      <c r="B109" s="23" t="n"/>
      <c r="C109" s="18" t="n"/>
      <c r="D109" s="18" t="n"/>
      <c r="E109" s="23"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c r="A110" s="18" t="n"/>
      <c r="B110" s="23" t="n"/>
      <c r="C110" s="18" t="n"/>
      <c r="D110" s="18" t="n"/>
      <c r="E110" s="23"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c r="A111" s="18" t="n"/>
      <c r="B111" s="23" t="n"/>
      <c r="C111" s="18" t="n"/>
      <c r="D111" s="18" t="n"/>
      <c r="E111" s="23"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c r="A112" s="18" t="n"/>
      <c r="B112" s="23" t="n"/>
      <c r="C112" s="18" t="n"/>
      <c r="D112" s="18" t="n"/>
      <c r="E112" s="23"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c r="A113" s="18" t="n"/>
      <c r="B113" s="23" t="n"/>
      <c r="C113" s="18" t="n"/>
      <c r="D113" s="18" t="n"/>
      <c r="E113" s="23"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c r="A114" s="18" t="n"/>
      <c r="B114" s="23" t="n"/>
      <c r="C114" s="18" t="n"/>
      <c r="D114" s="18" t="n"/>
      <c r="E114" s="23"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c r="A115" s="18" t="n"/>
      <c r="B115" s="23" t="n"/>
      <c r="C115" s="18" t="n"/>
      <c r="D115" s="18" t="n"/>
      <c r="E115" s="23"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c r="A116" s="18" t="n"/>
      <c r="B116" s="23" t="n"/>
      <c r="C116" s="18" t="n"/>
      <c r="D116" s="18" t="n"/>
      <c r="E116" s="23"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c r="A117" s="18" t="n"/>
      <c r="B117" s="23" t="n"/>
      <c r="C117" s="18" t="n"/>
      <c r="D117" s="18" t="n"/>
      <c r="E117" s="23"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c r="A118" s="18" t="n"/>
      <c r="B118" s="23" t="n"/>
      <c r="C118" s="18" t="n"/>
      <c r="D118" s="18" t="n"/>
      <c r="E118" s="23"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c r="A119" s="18" t="n"/>
      <c r="B119" s="23" t="n"/>
      <c r="C119" s="18" t="n"/>
      <c r="D119" s="18" t="n"/>
      <c r="E119" s="23"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c r="A120" s="18" t="n"/>
      <c r="B120" s="23" t="n"/>
      <c r="C120" s="18" t="n"/>
      <c r="D120" s="18" t="n"/>
      <c r="E120" s="23"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c r="A121" s="18" t="n"/>
      <c r="B121" s="23" t="n"/>
      <c r="C121" s="18" t="n"/>
      <c r="D121" s="18" t="n"/>
      <c r="E121" s="23"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c r="A122" s="18" t="n"/>
      <c r="B122" s="23" t="n"/>
      <c r="C122" s="18" t="n"/>
      <c r="D122" s="18" t="n"/>
      <c r="E122" s="23"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c r="A123" s="18" t="n"/>
      <c r="B123" s="23" t="n"/>
      <c r="C123" s="18" t="n"/>
      <c r="D123" s="18" t="n"/>
      <c r="E123" s="23"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c r="A124" s="18" t="n"/>
      <c r="B124" s="23" t="n"/>
      <c r="C124" s="18" t="n"/>
      <c r="D124" s="18" t="n"/>
      <c r="E124" s="23"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c r="A125" s="18" t="n"/>
      <c r="B125" s="23" t="n"/>
      <c r="C125" s="18" t="n"/>
      <c r="D125" s="18" t="n"/>
      <c r="E125" s="23"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c r="A126" s="18" t="n"/>
      <c r="B126" s="23" t="n"/>
      <c r="C126" s="18" t="n"/>
      <c r="D126" s="18" t="n"/>
      <c r="E126" s="23"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c r="A127" s="18" t="n"/>
      <c r="B127" s="23" t="n"/>
      <c r="C127" s="18" t="n"/>
      <c r="D127" s="18" t="n"/>
      <c r="E127" s="23"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c r="A128" s="18" t="n"/>
      <c r="B128" s="23" t="n"/>
      <c r="C128" s="18" t="n"/>
      <c r="D128" s="18" t="n"/>
      <c r="E128" s="23"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c r="A129" s="18" t="n"/>
      <c r="B129" s="23" t="n"/>
      <c r="C129" s="18" t="n"/>
      <c r="D129" s="18" t="n"/>
      <c r="E129" s="23"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c r="A130" s="18" t="n"/>
      <c r="B130" s="23" t="n"/>
      <c r="C130" s="18" t="n"/>
      <c r="D130" s="18" t="n"/>
      <c r="E130" s="23"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c r="A131" s="18" t="n"/>
      <c r="B131" s="23" t="n"/>
      <c r="C131" s="18" t="n"/>
      <c r="D131" s="18" t="n"/>
      <c r="E131" s="23"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c r="A132" s="18" t="n"/>
      <c r="B132" s="23" t="n"/>
      <c r="C132" s="18" t="n"/>
      <c r="D132" s="18" t="n"/>
      <c r="E132" s="23"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c r="A133" s="18" t="n"/>
      <c r="B133" s="23" t="n"/>
      <c r="C133" s="18" t="n"/>
      <c r="D133" s="18" t="n"/>
      <c r="E133" s="23"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c r="A134" s="18" t="n"/>
      <c r="B134" s="23" t="n"/>
      <c r="C134" s="18" t="n"/>
      <c r="D134" s="18" t="n"/>
      <c r="E134" s="23"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c r="A135" s="18" t="n"/>
      <c r="B135" s="23" t="n"/>
      <c r="C135" s="18" t="n"/>
      <c r="D135" s="18" t="n"/>
      <c r="E135" s="23"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c r="A136" s="18" t="n"/>
      <c r="B136" s="23" t="n"/>
      <c r="C136" s="18" t="n"/>
      <c r="D136" s="18" t="n"/>
      <c r="E136" s="23"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c r="A137" s="18" t="n"/>
      <c r="B137" s="23" t="n"/>
      <c r="C137" s="18" t="n"/>
      <c r="D137" s="18" t="n"/>
      <c r="E137" s="23"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c r="A138" s="18" t="n"/>
      <c r="B138" s="23" t="n"/>
      <c r="C138" s="18" t="n"/>
      <c r="D138" s="18" t="n"/>
      <c r="E138" s="23"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c r="A139" s="18" t="n"/>
      <c r="B139" s="23" t="n"/>
      <c r="C139" s="18" t="n"/>
      <c r="D139" s="18" t="n"/>
      <c r="E139" s="23"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c r="A140" s="18" t="n"/>
      <c r="B140" s="23" t="n"/>
      <c r="C140" s="18" t="n"/>
      <c r="D140" s="18" t="n"/>
      <c r="E140" s="23"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c r="A141" s="18" t="n"/>
      <c r="B141" s="23" t="n"/>
      <c r="C141" s="18" t="n"/>
      <c r="D141" s="18" t="n"/>
      <c r="E141" s="23"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c r="A142" s="18" t="n"/>
      <c r="B142" s="23" t="n"/>
      <c r="C142" s="18" t="n"/>
      <c r="D142" s="18" t="n"/>
      <c r="E142" s="23"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c r="A143" s="18" t="n"/>
      <c r="B143" s="23" t="n"/>
      <c r="C143" s="18" t="n"/>
      <c r="D143" s="18" t="n"/>
      <c r="E143" s="23"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c r="A144" s="18" t="n"/>
      <c r="B144" s="23" t="n"/>
      <c r="C144" s="18" t="n"/>
      <c r="D144" s="18" t="n"/>
      <c r="E144" s="23"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c r="A145" s="18" t="n"/>
      <c r="B145" s="23" t="n"/>
      <c r="C145" s="18" t="n"/>
      <c r="D145" s="18" t="n"/>
      <c r="E145" s="23"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c r="A146" s="18" t="n"/>
      <c r="B146" s="23" t="n"/>
      <c r="C146" s="18" t="n"/>
      <c r="D146" s="18" t="n"/>
      <c r="E146" s="23"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c r="A147" s="18" t="n"/>
      <c r="B147" s="23" t="n"/>
      <c r="C147" s="18" t="n"/>
      <c r="D147" s="18" t="n"/>
      <c r="E147" s="23"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c r="A148" s="18" t="n"/>
      <c r="B148" s="23" t="n"/>
      <c r="C148" s="18" t="n"/>
      <c r="D148" s="18" t="n"/>
      <c r="E148" s="23"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c r="A149" s="18" t="n"/>
      <c r="B149" s="23" t="n"/>
      <c r="C149" s="18" t="n"/>
      <c r="D149" s="18" t="n"/>
      <c r="E149" s="23"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c r="A150" s="18" t="n"/>
      <c r="B150" s="23" t="n"/>
      <c r="C150" s="18" t="n"/>
      <c r="D150" s="18" t="n"/>
      <c r="E150" s="23"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c r="A151" s="18" t="n"/>
      <c r="B151" s="23" t="n"/>
      <c r="C151" s="18" t="n"/>
      <c r="D151" s="18" t="n"/>
      <c r="E151" s="23"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c r="A152" s="18" t="n"/>
      <c r="B152" s="23" t="n"/>
      <c r="C152" s="18" t="n"/>
      <c r="D152" s="18" t="n"/>
      <c r="E152" s="23"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c r="A153" s="18" t="n"/>
      <c r="B153" s="23" t="n"/>
      <c r="C153" s="18" t="n"/>
      <c r="D153" s="18" t="n"/>
      <c r="E153" s="23"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c r="A154" s="18" t="n"/>
      <c r="B154" s="23" t="n"/>
      <c r="C154" s="18" t="n"/>
      <c r="D154" s="18" t="n"/>
      <c r="E154" s="23"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c r="A155" s="18" t="n"/>
      <c r="B155" s="23" t="n"/>
      <c r="C155" s="18" t="n"/>
      <c r="D155" s="18" t="n"/>
      <c r="E155" s="23"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c r="A156" s="18" t="n"/>
      <c r="B156" s="23" t="n"/>
      <c r="C156" s="18" t="n"/>
      <c r="D156" s="18" t="n"/>
      <c r="E156" s="23"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c r="A157" s="18" t="n"/>
      <c r="B157" s="23" t="n"/>
      <c r="C157" s="18" t="n"/>
      <c r="D157" s="18" t="n"/>
      <c r="E157" s="23"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c r="A158" s="18" t="n"/>
      <c r="B158" s="23" t="n"/>
      <c r="C158" s="18" t="n"/>
      <c r="D158" s="18" t="n"/>
      <c r="E158" s="23"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c r="A159" s="18" t="n"/>
      <c r="B159" s="23" t="n"/>
      <c r="C159" s="18" t="n"/>
      <c r="D159" s="18" t="n"/>
      <c r="E159" s="23"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c r="A160" s="18" t="n"/>
      <c r="B160" s="23" t="n"/>
      <c r="C160" s="18" t="n"/>
      <c r="D160" s="18" t="n"/>
      <c r="E160" s="23"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c r="A161" s="18" t="n"/>
      <c r="B161" s="23" t="n"/>
      <c r="C161" s="18" t="n"/>
      <c r="D161" s="18" t="n"/>
      <c r="E161" s="23"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c r="A162" s="18" t="n"/>
      <c r="B162" s="23" t="n"/>
      <c r="C162" s="18" t="n"/>
      <c r="D162" s="18" t="n"/>
      <c r="E162" s="23"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c r="A163" s="18" t="n"/>
      <c r="B163" s="23" t="n"/>
      <c r="C163" s="18" t="n"/>
      <c r="D163" s="18" t="n"/>
      <c r="E163" s="23"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c r="A164" s="18" t="n"/>
      <c r="B164" s="23" t="n"/>
      <c r="C164" s="18" t="n"/>
      <c r="D164" s="18" t="n"/>
      <c r="E164" s="23"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c r="A165" s="18" t="n"/>
      <c r="B165" s="23" t="n"/>
      <c r="C165" s="18" t="n"/>
      <c r="D165" s="18" t="n"/>
      <c r="E165" s="23"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c r="A166" s="18" t="n"/>
      <c r="B166" s="23" t="n"/>
      <c r="C166" s="18" t="n"/>
      <c r="D166" s="18" t="n"/>
      <c r="E166" s="23"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c r="A167" s="18" t="n"/>
      <c r="B167" s="23" t="n"/>
      <c r="C167" s="18" t="n"/>
      <c r="D167" s="18" t="n"/>
      <c r="E167" s="23"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c r="A168" s="18" t="n"/>
      <c r="B168" s="23" t="n"/>
      <c r="C168" s="18" t="n"/>
      <c r="D168" s="18" t="n"/>
      <c r="E168" s="23"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c r="A169" s="18" t="n"/>
      <c r="B169" s="23" t="n"/>
      <c r="C169" s="18" t="n"/>
      <c r="D169" s="18" t="n"/>
      <c r="E169" s="23"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c r="A170" s="18" t="n"/>
      <c r="B170" s="23" t="n"/>
      <c r="C170" s="18" t="n"/>
      <c r="D170" s="18" t="n"/>
      <c r="E170" s="23"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c r="A171" s="18" t="n"/>
      <c r="B171" s="23" t="n"/>
      <c r="C171" s="18" t="n"/>
      <c r="D171" s="18" t="n"/>
      <c r="E171" s="23"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c r="A172" s="18" t="n"/>
      <c r="B172" s="23" t="n"/>
      <c r="C172" s="18" t="n"/>
      <c r="D172" s="18" t="n"/>
      <c r="E172" s="23"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c r="A173" s="18" t="n"/>
      <c r="B173" s="23" t="n"/>
      <c r="C173" s="18" t="n"/>
      <c r="D173" s="18" t="n"/>
      <c r="E173" s="23"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c r="A174" s="18" t="n"/>
      <c r="B174" s="23" t="n"/>
      <c r="C174" s="18" t="n"/>
      <c r="D174" s="18" t="n"/>
      <c r="E174" s="23"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c r="A175" s="18" t="n"/>
      <c r="B175" s="23" t="n"/>
      <c r="C175" s="18" t="n"/>
      <c r="D175" s="18" t="n"/>
      <c r="E175" s="23"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c r="A176" s="18" t="n"/>
      <c r="B176" s="23" t="n"/>
      <c r="C176" s="18" t="n"/>
      <c r="D176" s="18" t="n"/>
      <c r="E176" s="23"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c r="A177" s="18" t="n"/>
      <c r="B177" s="23" t="n"/>
      <c r="C177" s="18" t="n"/>
      <c r="D177" s="18" t="n"/>
      <c r="E177" s="23"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c r="A178" s="18" t="n"/>
      <c r="B178" s="23" t="n"/>
      <c r="C178" s="18" t="n"/>
      <c r="D178" s="18" t="n"/>
      <c r="E178" s="23"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c r="A179" s="18" t="n"/>
      <c r="B179" s="23" t="n"/>
      <c r="C179" s="18" t="n"/>
      <c r="D179" s="18" t="n"/>
      <c r="E179" s="23"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c r="A180" s="18" t="n"/>
      <c r="B180" s="23" t="n"/>
      <c r="C180" s="18" t="n"/>
      <c r="D180" s="18" t="n"/>
      <c r="E180" s="23"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c r="A181" s="18" t="n"/>
      <c r="B181" s="23" t="n"/>
      <c r="C181" s="18" t="n"/>
      <c r="D181" s="18" t="n"/>
      <c r="E181" s="23"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c r="A182" s="18" t="n"/>
      <c r="B182" s="23" t="n"/>
      <c r="C182" s="18" t="n"/>
      <c r="D182" s="18" t="n"/>
      <c r="E182" s="23"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c r="A183" s="18" t="n"/>
      <c r="B183" s="23" t="n"/>
      <c r="C183" s="18" t="n"/>
      <c r="D183" s="18" t="n"/>
      <c r="E183" s="23"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c r="A184" s="18" t="n"/>
      <c r="B184" s="23" t="n"/>
      <c r="C184" s="18" t="n"/>
      <c r="D184" s="18" t="n"/>
      <c r="E184" s="23"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c r="A185" s="18" t="n"/>
      <c r="B185" s="23" t="n"/>
      <c r="C185" s="18" t="n"/>
      <c r="D185" s="18" t="n"/>
      <c r="E185" s="23"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c r="A186" s="18" t="n"/>
      <c r="B186" s="23" t="n"/>
      <c r="C186" s="18" t="n"/>
      <c r="D186" s="18" t="n"/>
      <c r="E186" s="23"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c r="A187" s="18" t="n"/>
      <c r="B187" s="23" t="n"/>
      <c r="C187" s="18" t="n"/>
      <c r="D187" s="18" t="n"/>
      <c r="E187" s="23"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c r="A188" s="18" t="n"/>
      <c r="B188" s="23" t="n"/>
      <c r="C188" s="18" t="n"/>
      <c r="D188" s="18" t="n"/>
      <c r="E188" s="23"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c r="A189" s="18" t="n"/>
      <c r="B189" s="23" t="n"/>
      <c r="C189" s="18" t="n"/>
      <c r="D189" s="18" t="n"/>
      <c r="E189" s="23"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c r="A190" s="18" t="n"/>
      <c r="B190" s="23" t="n"/>
      <c r="C190" s="18" t="n"/>
      <c r="D190" s="18" t="n"/>
      <c r="E190" s="23"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c r="A191" s="18" t="n"/>
      <c r="B191" s="23" t="n"/>
      <c r="C191" s="18" t="n"/>
      <c r="D191" s="18" t="n"/>
      <c r="E191" s="23"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c r="A192" s="18" t="n"/>
      <c r="B192" s="23" t="n"/>
      <c r="C192" s="18" t="n"/>
      <c r="D192" s="18" t="n"/>
      <c r="E192" s="23"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c r="A193" s="18" t="n"/>
      <c r="B193" s="23" t="n"/>
      <c r="C193" s="18" t="n"/>
      <c r="D193" s="18" t="n"/>
      <c r="E193" s="23"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c r="A194" s="18" t="n"/>
      <c r="B194" s="23" t="n"/>
      <c r="C194" s="18" t="n"/>
      <c r="D194" s="18" t="n"/>
      <c r="E194" s="23"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c r="A195" s="18" t="n"/>
      <c r="B195" s="23" t="n"/>
      <c r="C195" s="18" t="n"/>
      <c r="D195" s="18" t="n"/>
      <c r="E195" s="23"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c r="A196" s="18" t="n"/>
      <c r="B196" s="23" t="n"/>
      <c r="C196" s="18" t="n"/>
      <c r="D196" s="18" t="n"/>
      <c r="E196" s="23"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c r="A197" s="18" t="n"/>
      <c r="B197" s="23" t="n"/>
      <c r="C197" s="18" t="n"/>
      <c r="D197" s="18" t="n"/>
      <c r="E197" s="23"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c r="A198" s="18" t="n"/>
      <c r="B198" s="23" t="n"/>
      <c r="C198" s="18" t="n"/>
      <c r="D198" s="18" t="n"/>
      <c r="E198" s="23"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c r="A199" s="18" t="n"/>
      <c r="B199" s="23" t="n"/>
      <c r="C199" s="18" t="n"/>
      <c r="D199" s="18" t="n"/>
      <c r="E199" s="23"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c r="A200" s="18" t="n"/>
      <c r="B200" s="23" t="n"/>
      <c r="C200" s="18" t="n"/>
      <c r="D200" s="18" t="n"/>
      <c r="E200" s="23"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c r="A201" s="18" t="n"/>
      <c r="B201" s="23" t="n"/>
      <c r="C201" s="18" t="n"/>
      <c r="D201" s="18" t="n"/>
      <c r="E201" s="23"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c r="A202" s="18" t="n"/>
      <c r="B202" s="23" t="n"/>
      <c r="C202" s="18" t="n"/>
      <c r="D202" s="18" t="n"/>
      <c r="E202" s="23"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c r="A203" s="18" t="n"/>
      <c r="B203" s="23" t="n"/>
      <c r="C203" s="18" t="n"/>
      <c r="D203" s="18" t="n"/>
      <c r="E203" s="23"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c r="A204" s="18" t="n"/>
      <c r="B204" s="23" t="n"/>
      <c r="C204" s="18" t="n"/>
      <c r="D204" s="18" t="n"/>
      <c r="E204" s="23"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c r="A205" s="18" t="n"/>
      <c r="B205" s="23" t="n"/>
      <c r="C205" s="18" t="n"/>
      <c r="D205" s="18" t="n"/>
      <c r="E205" s="23"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c r="A206" s="18" t="n"/>
      <c r="B206" s="23" t="n"/>
      <c r="C206" s="18" t="n"/>
      <c r="D206" s="18" t="n"/>
      <c r="E206" s="23"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c r="A207" s="18" t="n"/>
      <c r="B207" s="23" t="n"/>
      <c r="C207" s="18" t="n"/>
      <c r="D207" s="18" t="n"/>
      <c r="E207" s="23"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c r="A208" s="18" t="n"/>
      <c r="B208" s="23" t="n"/>
      <c r="C208" s="18" t="n"/>
      <c r="D208" s="18" t="n"/>
      <c r="E208" s="23"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c r="A209" s="18" t="n"/>
      <c r="B209" s="23" t="n"/>
      <c r="C209" s="18" t="n"/>
      <c r="D209" s="18" t="n"/>
      <c r="E209" s="23"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c r="A210" s="18" t="n"/>
      <c r="B210" s="23" t="n"/>
      <c r="C210" s="18" t="n"/>
      <c r="D210" s="18" t="n"/>
      <c r="E210" s="23"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c r="A211" s="18" t="n"/>
      <c r="B211" s="23" t="n"/>
      <c r="C211" s="18" t="n"/>
      <c r="D211" s="18" t="n"/>
      <c r="E211" s="23"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c r="A212" s="18" t="n"/>
      <c r="B212" s="23" t="n"/>
      <c r="C212" s="18" t="n"/>
      <c r="D212" s="18" t="n"/>
      <c r="E212" s="23"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c r="A213" s="18" t="n"/>
      <c r="B213" s="23" t="n"/>
      <c r="C213" s="18" t="n"/>
      <c r="D213" s="18" t="n"/>
      <c r="E213" s="23"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c r="A214" s="18" t="n"/>
      <c r="B214" s="23" t="n"/>
      <c r="C214" s="18" t="n"/>
      <c r="D214" s="18" t="n"/>
      <c r="E214" s="23"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c r="A215" s="18" t="n"/>
      <c r="B215" s="23" t="n"/>
      <c r="C215" s="18" t="n"/>
      <c r="D215" s="18" t="n"/>
      <c r="E215" s="23"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c r="A216" s="18" t="n"/>
      <c r="B216" s="23" t="n"/>
      <c r="C216" s="18" t="n"/>
      <c r="D216" s="18" t="n"/>
      <c r="E216" s="23"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c r="A217" s="18" t="n"/>
      <c r="B217" s="23" t="n"/>
      <c r="C217" s="18" t="n"/>
      <c r="D217" s="18" t="n"/>
      <c r="E217" s="23"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c r="A218" s="18" t="n"/>
      <c r="B218" s="23" t="n"/>
      <c r="C218" s="18" t="n"/>
      <c r="D218" s="18" t="n"/>
      <c r="E218" s="23"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c r="A219" s="18" t="n"/>
      <c r="B219" s="23" t="n"/>
      <c r="C219" s="18" t="n"/>
      <c r="D219" s="18" t="n"/>
      <c r="E219" s="23"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c r="A220" s="18" t="n"/>
      <c r="B220" s="23" t="n"/>
      <c r="C220" s="18" t="n"/>
      <c r="D220" s="18" t="n"/>
      <c r="E220" s="23"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c r="A221" s="18" t="n"/>
      <c r="B221" s="23" t="n"/>
      <c r="C221" s="18" t="n"/>
      <c r="D221" s="18" t="n"/>
      <c r="E221" s="23"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c r="A222" s="18" t="n"/>
      <c r="B222" s="23" t="n"/>
      <c r="C222" s="18" t="n"/>
      <c r="D222" s="18" t="n"/>
      <c r="E222" s="23"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c r="A223" s="18" t="n"/>
      <c r="B223" s="23" t="n"/>
      <c r="C223" s="18" t="n"/>
      <c r="D223" s="18" t="n"/>
      <c r="E223" s="23"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c r="A224" s="18" t="n"/>
      <c r="B224" s="23" t="n"/>
      <c r="C224" s="18" t="n"/>
      <c r="D224" s="18" t="n"/>
      <c r="E224" s="23"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c r="A225" s="18" t="n"/>
      <c r="B225" s="23" t="n"/>
      <c r="C225" s="18" t="n"/>
      <c r="D225" s="18" t="n"/>
      <c r="E225" s="23"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c r="A226" s="18" t="n"/>
      <c r="B226" s="23" t="n"/>
      <c r="C226" s="18" t="n"/>
      <c r="D226" s="18" t="n"/>
      <c r="E226" s="23"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c r="A227" s="18" t="n"/>
      <c r="B227" s="23" t="n"/>
      <c r="C227" s="18" t="n"/>
      <c r="D227" s="18" t="n"/>
      <c r="E227" s="23"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c r="A228" s="18" t="n"/>
      <c r="B228" s="23" t="n"/>
      <c r="C228" s="18" t="n"/>
      <c r="D228" s="18" t="n"/>
      <c r="E228" s="23"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c r="A229" s="18" t="n"/>
      <c r="B229" s="23" t="n"/>
      <c r="C229" s="18" t="n"/>
      <c r="D229" s="18" t="n"/>
      <c r="E229" s="23"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c r="A230" s="18" t="n"/>
      <c r="B230" s="23" t="n"/>
      <c r="C230" s="18" t="n"/>
      <c r="D230" s="18" t="n"/>
      <c r="E230" s="23"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c r="A231" s="18" t="n"/>
      <c r="B231" s="23" t="n"/>
      <c r="C231" s="18" t="n"/>
      <c r="D231" s="18" t="n"/>
      <c r="E231" s="23"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c r="A232" s="18" t="n"/>
      <c r="B232" s="23" t="n"/>
      <c r="C232" s="18" t="n"/>
      <c r="D232" s="18" t="n"/>
      <c r="E232" s="23"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c r="A233" s="18" t="n"/>
      <c r="B233" s="23" t="n"/>
      <c r="C233" s="18" t="n"/>
      <c r="D233" s="18" t="n"/>
      <c r="E233" s="23"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c r="A234" s="18" t="n"/>
      <c r="B234" s="23" t="n"/>
      <c r="C234" s="18" t="n"/>
      <c r="D234" s="18" t="n"/>
      <c r="E234" s="23"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c r="A235" s="18" t="n"/>
      <c r="B235" s="23" t="n"/>
      <c r="C235" s="18" t="n"/>
      <c r="D235" s="18" t="n"/>
      <c r="E235" s="23"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c r="A236" s="18" t="n"/>
      <c r="B236" s="23" t="n"/>
      <c r="C236" s="18" t="n"/>
      <c r="D236" s="18" t="n"/>
      <c r="E236" s="23"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c r="A237" s="18" t="n"/>
      <c r="B237" s="23" t="n"/>
      <c r="C237" s="18" t="n"/>
      <c r="D237" s="18" t="n"/>
      <c r="E237" s="23"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c r="A238" s="18" t="n"/>
      <c r="B238" s="23" t="n"/>
      <c r="C238" s="18" t="n"/>
      <c r="D238" s="18" t="n"/>
      <c r="E238" s="23"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c r="A239" s="18" t="n"/>
      <c r="B239" s="23" t="n"/>
      <c r="C239" s="18" t="n"/>
      <c r="D239" s="18" t="n"/>
      <c r="E239" s="23"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c r="A240" s="18" t="n"/>
      <c r="B240" s="23" t="n"/>
      <c r="C240" s="18" t="n"/>
      <c r="D240" s="18" t="n"/>
      <c r="E240" s="23"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c r="A241" s="18" t="n"/>
      <c r="B241" s="23" t="n"/>
      <c r="C241" s="18" t="n"/>
      <c r="D241" s="18" t="n"/>
      <c r="E241" s="23"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c r="A242" s="18" t="n"/>
      <c r="B242" s="23" t="n"/>
      <c r="C242" s="18" t="n"/>
      <c r="D242" s="18" t="n"/>
      <c r="E242" s="23"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c r="A243" s="18" t="n"/>
      <c r="B243" s="23" t="n"/>
      <c r="C243" s="18" t="n"/>
      <c r="D243" s="18" t="n"/>
      <c r="E243" s="23"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c r="A244" s="18" t="n"/>
      <c r="B244" s="23" t="n"/>
      <c r="C244" s="18" t="n"/>
      <c r="D244" s="18" t="n"/>
      <c r="E244" s="23"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c r="A245" s="18" t="n"/>
      <c r="B245" s="23" t="n"/>
      <c r="C245" s="18" t="n"/>
      <c r="D245" s="18" t="n"/>
      <c r="E245" s="23"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c r="A246" s="18" t="n"/>
      <c r="B246" s="23" t="n"/>
      <c r="C246" s="18" t="n"/>
      <c r="D246" s="18" t="n"/>
      <c r="E246" s="23"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c r="A247" s="18" t="n"/>
      <c r="B247" s="23" t="n"/>
      <c r="C247" s="18" t="n"/>
      <c r="D247" s="18" t="n"/>
      <c r="E247" s="23"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c r="A248" s="18" t="n"/>
      <c r="B248" s="23" t="n"/>
      <c r="C248" s="18" t="n"/>
      <c r="D248" s="18" t="n"/>
      <c r="E248" s="23"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c r="A249" s="18" t="n"/>
      <c r="B249" s="23" t="n"/>
      <c r="C249" s="18" t="n"/>
      <c r="D249" s="18" t="n"/>
      <c r="E249" s="23"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c r="A250" s="18" t="n"/>
      <c r="B250" s="23" t="n"/>
      <c r="C250" s="18" t="n"/>
      <c r="D250" s="18" t="n"/>
      <c r="E250" s="23"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c r="A251" s="18" t="n"/>
      <c r="B251" s="23" t="n"/>
      <c r="C251" s="18" t="n"/>
      <c r="D251" s="18" t="n"/>
      <c r="E251" s="23"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c r="A252" s="18" t="n"/>
      <c r="B252" s="23" t="n"/>
      <c r="C252" s="18" t="n"/>
      <c r="D252" s="18" t="n"/>
      <c r="E252" s="23"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c r="A253" s="18" t="n"/>
      <c r="B253" s="23" t="n"/>
      <c r="C253" s="18" t="n"/>
      <c r="D253" s="18" t="n"/>
      <c r="E253" s="23"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c r="A254" s="18" t="n"/>
      <c r="B254" s="23" t="n"/>
      <c r="C254" s="18" t="n"/>
      <c r="D254" s="18" t="n"/>
      <c r="E254" s="23"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c r="A255" s="18" t="n"/>
      <c r="B255" s="23" t="n"/>
      <c r="C255" s="18" t="n"/>
      <c r="D255" s="18" t="n"/>
      <c r="E255" s="23"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c r="A256" s="18" t="n"/>
      <c r="B256" s="23" t="n"/>
      <c r="C256" s="18" t="n"/>
      <c r="D256" s="18" t="n"/>
      <c r="E256" s="23"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c r="A257" s="18" t="n"/>
      <c r="B257" s="23" t="n"/>
      <c r="C257" s="18" t="n"/>
      <c r="D257" s="18" t="n"/>
      <c r="E257" s="23"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c r="A258" s="18" t="n"/>
      <c r="B258" s="23" t="n"/>
      <c r="C258" s="18" t="n"/>
      <c r="D258" s="18" t="n"/>
      <c r="E258" s="23"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c r="A259" s="18" t="n"/>
      <c r="B259" s="23" t="n"/>
      <c r="C259" s="18" t="n"/>
      <c r="D259" s="18" t="n"/>
      <c r="E259" s="23"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c r="A260" s="18" t="n"/>
      <c r="B260" s="23" t="n"/>
      <c r="C260" s="18" t="n"/>
      <c r="D260" s="18" t="n"/>
      <c r="E260" s="23"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c r="A261" s="18" t="n"/>
      <c r="B261" s="23" t="n"/>
      <c r="C261" s="18" t="n"/>
      <c r="D261" s="18" t="n"/>
      <c r="E261" s="23"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c r="A262" s="18" t="n"/>
      <c r="B262" s="23" t="n"/>
      <c r="C262" s="18" t="n"/>
      <c r="D262" s="18" t="n"/>
      <c r="E262" s="23"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c r="A263" s="18" t="n"/>
      <c r="B263" s="23" t="n"/>
      <c r="C263" s="18" t="n"/>
      <c r="D263" s="18" t="n"/>
      <c r="E263" s="23"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c r="A264" s="18" t="n"/>
      <c r="B264" s="23" t="n"/>
      <c r="C264" s="18" t="n"/>
      <c r="D264" s="18" t="n"/>
      <c r="E264" s="23"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c r="A265" s="18" t="n"/>
      <c r="B265" s="23" t="n"/>
      <c r="C265" s="18" t="n"/>
      <c r="D265" s="18" t="n"/>
      <c r="E265" s="23"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c r="A266" s="18" t="n"/>
      <c r="B266" s="23" t="n"/>
      <c r="C266" s="18" t="n"/>
      <c r="D266" s="18" t="n"/>
      <c r="E266" s="23"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c r="A267" s="18" t="n"/>
      <c r="B267" s="23" t="n"/>
      <c r="C267" s="18" t="n"/>
      <c r="D267" s="18" t="n"/>
      <c r="E267" s="23"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c r="A268" s="18" t="n"/>
      <c r="B268" s="23" t="n"/>
      <c r="C268" s="18" t="n"/>
      <c r="D268" s="18" t="n"/>
      <c r="E268" s="23"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c r="A269" s="18" t="n"/>
      <c r="B269" s="23" t="n"/>
      <c r="C269" s="18" t="n"/>
      <c r="D269" s="18" t="n"/>
      <c r="E269" s="23"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c r="A270" s="18" t="n"/>
      <c r="B270" s="23" t="n"/>
      <c r="C270" s="18" t="n"/>
      <c r="D270" s="18" t="n"/>
      <c r="E270" s="23"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c r="A271" s="18" t="n"/>
      <c r="B271" s="23" t="n"/>
      <c r="C271" s="18" t="n"/>
      <c r="D271" s="18" t="n"/>
      <c r="E271" s="23"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c r="A272" s="18" t="n"/>
      <c r="B272" s="23" t="n"/>
      <c r="C272" s="18" t="n"/>
      <c r="D272" s="18" t="n"/>
      <c r="E272" s="23"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c r="A273" s="18" t="n"/>
      <c r="B273" s="23" t="n"/>
      <c r="C273" s="18" t="n"/>
      <c r="D273" s="18" t="n"/>
      <c r="E273" s="23"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c r="A274" s="18" t="n"/>
      <c r="B274" s="23" t="n"/>
      <c r="C274" s="18" t="n"/>
      <c r="D274" s="18" t="n"/>
      <c r="E274" s="23"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c r="A275" s="18" t="n"/>
      <c r="B275" s="23" t="n"/>
      <c r="C275" s="18" t="n"/>
      <c r="D275" s="18" t="n"/>
      <c r="E275" s="23"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c r="A276" s="18" t="n"/>
      <c r="B276" s="23" t="n"/>
      <c r="C276" s="18" t="n"/>
      <c r="D276" s="18" t="n"/>
      <c r="E276" s="23"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c r="A277" s="18" t="n"/>
      <c r="B277" s="23" t="n"/>
      <c r="C277" s="18" t="n"/>
      <c r="D277" s="18" t="n"/>
      <c r="E277" s="23"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c r="A278" s="18" t="n"/>
      <c r="B278" s="23" t="n"/>
      <c r="C278" s="18" t="n"/>
      <c r="D278" s="18" t="n"/>
      <c r="E278" s="23"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c r="A279" s="18" t="n"/>
      <c r="B279" s="23" t="n"/>
      <c r="C279" s="18" t="n"/>
      <c r="D279" s="18" t="n"/>
      <c r="E279" s="23"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c r="A280" s="18" t="n"/>
      <c r="B280" s="23" t="n"/>
      <c r="C280" s="18" t="n"/>
      <c r="D280" s="18" t="n"/>
      <c r="E280" s="23"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c r="A281" s="18" t="n"/>
      <c r="B281" s="23" t="n"/>
      <c r="C281" s="18" t="n"/>
      <c r="D281" s="18" t="n"/>
      <c r="E281" s="23"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c r="A282" s="18" t="n"/>
      <c r="B282" s="23" t="n"/>
      <c r="C282" s="18" t="n"/>
      <c r="D282" s="18" t="n"/>
      <c r="E282" s="23"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c r="A283" s="18" t="n"/>
      <c r="B283" s="23" t="n"/>
      <c r="C283" s="18" t="n"/>
      <c r="D283" s="18" t="n"/>
      <c r="E283" s="23"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c r="A284" s="18" t="n"/>
      <c r="B284" s="23" t="n"/>
      <c r="C284" s="18" t="n"/>
      <c r="D284" s="18" t="n"/>
      <c r="E284" s="23"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c r="A285" s="18" t="n"/>
      <c r="B285" s="23" t="n"/>
      <c r="C285" s="18" t="n"/>
      <c r="D285" s="18" t="n"/>
      <c r="E285" s="23"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c r="A286" s="18" t="n"/>
      <c r="B286" s="23" t="n"/>
      <c r="C286" s="18" t="n"/>
      <c r="D286" s="18" t="n"/>
      <c r="E286" s="23"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c r="A287" s="18" t="n"/>
      <c r="B287" s="23" t="n"/>
      <c r="C287" s="18" t="n"/>
      <c r="D287" s="18" t="n"/>
      <c r="E287" s="23"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c r="A288" s="18" t="n"/>
      <c r="B288" s="23" t="n"/>
      <c r="C288" s="18" t="n"/>
      <c r="D288" s="18" t="n"/>
      <c r="E288" s="23"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c r="A289" s="18" t="n"/>
      <c r="B289" s="23" t="n"/>
      <c r="C289" s="18" t="n"/>
      <c r="D289" s="18" t="n"/>
      <c r="E289" s="23"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c r="A290" s="18" t="n"/>
      <c r="B290" s="23" t="n"/>
      <c r="C290" s="18" t="n"/>
      <c r="D290" s="18" t="n"/>
      <c r="E290" s="23"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c r="A291" s="18" t="n"/>
      <c r="B291" s="23" t="n"/>
      <c r="C291" s="18" t="n"/>
      <c r="D291" s="18" t="n"/>
      <c r="E291" s="23"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c r="A292" s="18" t="n"/>
      <c r="B292" s="23" t="n"/>
      <c r="C292" s="18" t="n"/>
      <c r="D292" s="18" t="n"/>
      <c r="E292" s="23"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c r="A293" s="18" t="n"/>
      <c r="B293" s="23" t="n"/>
      <c r="C293" s="18" t="n"/>
      <c r="D293" s="18" t="n"/>
      <c r="E293" s="23"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c r="A294" s="18" t="n"/>
      <c r="B294" s="23" t="n"/>
      <c r="C294" s="18" t="n"/>
      <c r="D294" s="18" t="n"/>
      <c r="E294" s="23"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c r="A295" s="18" t="n"/>
      <c r="B295" s="23" t="n"/>
      <c r="C295" s="18" t="n"/>
      <c r="D295" s="18" t="n"/>
      <c r="E295" s="23"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c r="A296" s="18" t="n"/>
      <c r="B296" s="23" t="n"/>
      <c r="C296" s="18" t="n"/>
      <c r="D296" s="18" t="n"/>
      <c r="E296" s="23"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c r="A297" s="18" t="n"/>
      <c r="B297" s="23" t="n"/>
      <c r="C297" s="18" t="n"/>
      <c r="D297" s="18" t="n"/>
      <c r="E297" s="23"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c r="A298" s="18" t="n"/>
      <c r="B298" s="23" t="n"/>
      <c r="C298" s="18" t="n"/>
      <c r="D298" s="18" t="n"/>
      <c r="E298" s="23"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c r="A299" s="18" t="n"/>
      <c r="B299" s="23" t="n"/>
      <c r="C299" s="18" t="n"/>
      <c r="D299" s="18" t="n"/>
      <c r="E299" s="23"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c r="A300" s="18" t="n"/>
      <c r="B300" s="23" t="n"/>
      <c r="C300" s="18" t="n"/>
      <c r="D300" s="18" t="n"/>
      <c r="E300" s="23"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c r="A301" s="18" t="n"/>
      <c r="B301" s="23" t="n"/>
      <c r="C301" s="18" t="n"/>
      <c r="D301" s="18" t="n"/>
      <c r="E301" s="23"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c r="A302" s="18" t="n"/>
      <c r="B302" s="23" t="n"/>
      <c r="C302" s="18" t="n"/>
      <c r="D302" s="18" t="n"/>
      <c r="E302" s="23"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c r="A303" s="18" t="n"/>
      <c r="B303" s="23" t="n"/>
      <c r="C303" s="18" t="n"/>
      <c r="D303" s="18" t="n"/>
      <c r="E303" s="23"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c r="A304" s="18" t="n"/>
      <c r="B304" s="23" t="n"/>
      <c r="C304" s="18" t="n"/>
      <c r="D304" s="18" t="n"/>
      <c r="E304" s="23"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c r="A305" s="18" t="n"/>
      <c r="B305" s="23" t="n"/>
      <c r="C305" s="18" t="n"/>
      <c r="D305" s="18" t="n"/>
      <c r="E305" s="23"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c r="A306" s="18" t="n"/>
      <c r="B306" s="23" t="n"/>
      <c r="C306" s="18" t="n"/>
      <c r="D306" s="18" t="n"/>
      <c r="E306" s="23"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c r="A307" s="18" t="n"/>
      <c r="B307" s="23" t="n"/>
      <c r="C307" s="18" t="n"/>
      <c r="D307" s="18" t="n"/>
      <c r="E307" s="23"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c r="A308" s="18" t="n"/>
      <c r="B308" s="23" t="n"/>
      <c r="C308" s="18" t="n"/>
      <c r="D308" s="18" t="n"/>
      <c r="E308" s="23"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c r="A309" s="18" t="n"/>
      <c r="B309" s="23" t="n"/>
      <c r="C309" s="18" t="n"/>
      <c r="D309" s="18" t="n"/>
      <c r="E309" s="23"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c r="A310" s="18" t="n"/>
      <c r="B310" s="23" t="n"/>
      <c r="C310" s="18" t="n"/>
      <c r="D310" s="18" t="n"/>
      <c r="E310" s="23"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c r="A311" s="18" t="n"/>
      <c r="B311" s="23" t="n"/>
      <c r="C311" s="18" t="n"/>
      <c r="D311" s="18" t="n"/>
      <c r="E311" s="23"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c r="A312" s="18" t="n"/>
      <c r="B312" s="23" t="n"/>
      <c r="C312" s="18" t="n"/>
      <c r="D312" s="18" t="n"/>
      <c r="E312" s="23"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c r="A313" s="18" t="n"/>
      <c r="B313" s="23" t="n"/>
      <c r="C313" s="18" t="n"/>
      <c r="D313" s="18" t="n"/>
      <c r="E313" s="23"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c r="A314" s="18" t="n"/>
      <c r="B314" s="23" t="n"/>
      <c r="C314" s="18" t="n"/>
      <c r="D314" s="18" t="n"/>
      <c r="E314" s="23"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c r="A315" s="18" t="n"/>
      <c r="B315" s="23" t="n"/>
      <c r="C315" s="18" t="n"/>
      <c r="D315" s="18" t="n"/>
      <c r="E315" s="23"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c r="A316" s="18" t="n"/>
      <c r="B316" s="23" t="n"/>
      <c r="C316" s="18" t="n"/>
      <c r="D316" s="18" t="n"/>
      <c r="E316" s="23"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c r="A317" s="18" t="n"/>
      <c r="B317" s="23" t="n"/>
      <c r="C317" s="18" t="n"/>
      <c r="D317" s="18" t="n"/>
      <c r="E317" s="23"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c r="A318" s="18" t="n"/>
      <c r="B318" s="23" t="n"/>
      <c r="C318" s="18" t="n"/>
      <c r="D318" s="18" t="n"/>
      <c r="E318" s="23"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c r="A319" s="18" t="n"/>
      <c r="B319" s="23" t="n"/>
      <c r="C319" s="18" t="n"/>
      <c r="D319" s="18" t="n"/>
      <c r="E319" s="23"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c r="A320" s="18" t="n"/>
      <c r="B320" s="23" t="n"/>
      <c r="C320" s="18" t="n"/>
      <c r="D320" s="18" t="n"/>
      <c r="E320" s="23"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c r="A321" s="18" t="n"/>
      <c r="B321" s="23" t="n"/>
      <c r="C321" s="18" t="n"/>
      <c r="D321" s="18" t="n"/>
      <c r="E321" s="23"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c r="A322" s="18" t="n"/>
      <c r="B322" s="23" t="n"/>
      <c r="C322" s="18" t="n"/>
      <c r="D322" s="18" t="n"/>
      <c r="E322" s="23"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c r="A323" s="18" t="n"/>
      <c r="B323" s="23" t="n"/>
      <c r="C323" s="18" t="n"/>
      <c r="D323" s="18" t="n"/>
      <c r="E323" s="23"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c r="A324" s="18" t="n"/>
      <c r="B324" s="23" t="n"/>
      <c r="C324" s="18" t="n"/>
      <c r="D324" s="18" t="n"/>
      <c r="E324" s="23"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c r="A325" s="18" t="n"/>
      <c r="B325" s="23" t="n"/>
      <c r="C325" s="18" t="n"/>
      <c r="D325" s="18" t="n"/>
      <c r="E325" s="23"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c r="A326" s="18" t="n"/>
      <c r="B326" s="23" t="n"/>
      <c r="C326" s="18" t="n"/>
      <c r="D326" s="18" t="n"/>
      <c r="E326" s="23"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c r="A327" s="18" t="n"/>
      <c r="B327" s="23" t="n"/>
      <c r="C327" s="18" t="n"/>
      <c r="D327" s="18" t="n"/>
      <c r="E327" s="23"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c r="A328" s="18" t="n"/>
      <c r="B328" s="23" t="n"/>
      <c r="C328" s="18" t="n"/>
      <c r="D328" s="18" t="n"/>
      <c r="E328" s="23"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c r="A329" s="18" t="n"/>
      <c r="B329" s="23" t="n"/>
      <c r="C329" s="18" t="n"/>
      <c r="D329" s="18" t="n"/>
      <c r="E329" s="23"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c r="A330" s="18" t="n"/>
      <c r="B330" s="23" t="n"/>
      <c r="C330" s="18" t="n"/>
      <c r="D330" s="18" t="n"/>
      <c r="E330" s="23"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c r="A331" s="18" t="n"/>
      <c r="B331" s="23" t="n"/>
      <c r="C331" s="18" t="n"/>
      <c r="D331" s="18" t="n"/>
      <c r="E331" s="23"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c r="A332" s="18" t="n"/>
      <c r="B332" s="23" t="n"/>
      <c r="C332" s="18" t="n"/>
      <c r="D332" s="18" t="n"/>
      <c r="E332" s="23"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c r="A333" s="18" t="n"/>
      <c r="B333" s="23" t="n"/>
      <c r="C333" s="18" t="n"/>
      <c r="D333" s="18" t="n"/>
      <c r="E333" s="23"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c r="A334" s="18" t="n"/>
      <c r="B334" s="23" t="n"/>
      <c r="C334" s="18" t="n"/>
      <c r="D334" s="18" t="n"/>
      <c r="E334" s="23"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c r="A335" s="18" t="n"/>
      <c r="B335" s="23" t="n"/>
      <c r="C335" s="18" t="n"/>
      <c r="D335" s="18" t="n"/>
      <c r="E335" s="23"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c r="A336" s="18" t="n"/>
      <c r="B336" s="23" t="n"/>
      <c r="C336" s="18" t="n"/>
      <c r="D336" s="18" t="n"/>
      <c r="E336" s="23"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c r="A337" s="18" t="n"/>
      <c r="B337" s="23" t="n"/>
      <c r="C337" s="18" t="n"/>
      <c r="D337" s="18" t="n"/>
      <c r="E337" s="23"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c r="A338" s="18" t="n"/>
      <c r="B338" s="23" t="n"/>
      <c r="C338" s="18" t="n"/>
      <c r="D338" s="18" t="n"/>
      <c r="E338" s="23"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c r="A339" s="18" t="n"/>
      <c r="B339" s="23" t="n"/>
      <c r="C339" s="18" t="n"/>
      <c r="D339" s="18" t="n"/>
      <c r="E339" s="23"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c r="A340" s="18" t="n"/>
      <c r="B340" s="23" t="n"/>
      <c r="C340" s="18" t="n"/>
      <c r="D340" s="18" t="n"/>
      <c r="E340" s="23"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c r="A341" s="18" t="n"/>
      <c r="B341" s="23" t="n"/>
      <c r="C341" s="18" t="n"/>
      <c r="D341" s="18" t="n"/>
      <c r="E341" s="23"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c r="A342" s="18" t="n"/>
      <c r="B342" s="23" t="n"/>
      <c r="C342" s="18" t="n"/>
      <c r="D342" s="18" t="n"/>
      <c r="E342" s="23"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c r="A343" s="18" t="n"/>
      <c r="B343" s="23" t="n"/>
      <c r="C343" s="18" t="n"/>
      <c r="D343" s="18" t="n"/>
      <c r="E343" s="23"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c r="A344" s="18" t="n"/>
      <c r="B344" s="23" t="n"/>
      <c r="C344" s="18" t="n"/>
      <c r="D344" s="18" t="n"/>
      <c r="E344" s="23"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c r="A345" s="18" t="n"/>
      <c r="B345" s="23" t="n"/>
      <c r="C345" s="18" t="n"/>
      <c r="D345" s="18" t="n"/>
      <c r="E345" s="23"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c r="A346" s="18" t="n"/>
      <c r="B346" s="23" t="n"/>
      <c r="C346" s="18" t="n"/>
      <c r="D346" s="18" t="n"/>
      <c r="E346" s="23"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c r="A347" s="18" t="n"/>
      <c r="B347" s="23" t="n"/>
      <c r="C347" s="18" t="n"/>
      <c r="D347" s="18" t="n"/>
      <c r="E347" s="23"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c r="A348" s="18" t="n"/>
      <c r="B348" s="23" t="n"/>
      <c r="C348" s="18" t="n"/>
      <c r="D348" s="18" t="n"/>
      <c r="E348" s="23"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c r="A349" s="18" t="n"/>
      <c r="B349" s="23" t="n"/>
      <c r="C349" s="18" t="n"/>
      <c r="D349" s="18" t="n"/>
      <c r="E349" s="23"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c r="A350" s="18" t="n"/>
      <c r="B350" s="23" t="n"/>
      <c r="C350" s="18" t="n"/>
      <c r="D350" s="18" t="n"/>
      <c r="E350" s="23"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c r="A351" s="18" t="n"/>
      <c r="B351" s="23" t="n"/>
      <c r="C351" s="18" t="n"/>
      <c r="D351" s="18" t="n"/>
      <c r="E351" s="23"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c r="A352" s="18" t="n"/>
      <c r="B352" s="23" t="n"/>
      <c r="C352" s="18" t="n"/>
      <c r="D352" s="18" t="n"/>
      <c r="E352" s="23"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c r="A353" s="18" t="n"/>
      <c r="B353" s="23" t="n"/>
      <c r="C353" s="18" t="n"/>
      <c r="D353" s="18" t="n"/>
      <c r="E353" s="23"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c r="A354" s="18" t="n"/>
      <c r="B354" s="23" t="n"/>
      <c r="C354" s="18" t="n"/>
      <c r="D354" s="18" t="n"/>
      <c r="E354" s="23"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c r="A355" s="18" t="n"/>
      <c r="B355" s="23" t="n"/>
      <c r="C355" s="18" t="n"/>
      <c r="D355" s="18" t="n"/>
      <c r="E355" s="23"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c r="A356" s="18" t="n"/>
      <c r="B356" s="23" t="n"/>
      <c r="C356" s="18" t="n"/>
      <c r="D356" s="18" t="n"/>
      <c r="E356" s="23"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c r="A357" s="18" t="n"/>
      <c r="B357" s="23" t="n"/>
      <c r="C357" s="18" t="n"/>
      <c r="D357" s="18" t="n"/>
      <c r="E357" s="23"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c r="A358" s="18" t="n"/>
      <c r="B358" s="23" t="n"/>
      <c r="C358" s="18" t="n"/>
      <c r="D358" s="18" t="n"/>
      <c r="E358" s="23"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c r="A359" s="18" t="n"/>
      <c r="B359" s="23" t="n"/>
      <c r="C359" s="18" t="n"/>
      <c r="D359" s="18" t="n"/>
      <c r="E359" s="23"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c r="A360" s="18" t="n"/>
      <c r="B360" s="23" t="n"/>
      <c r="C360" s="18" t="n"/>
      <c r="D360" s="18" t="n"/>
      <c r="E360" s="23"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c r="A361" s="18" t="n"/>
      <c r="B361" s="23" t="n"/>
      <c r="C361" s="18" t="n"/>
      <c r="D361" s="18" t="n"/>
      <c r="E361" s="23"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c r="A362" s="18" t="n"/>
      <c r="B362" s="23" t="n"/>
      <c r="C362" s="18" t="n"/>
      <c r="D362" s="18" t="n"/>
      <c r="E362" s="23"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c r="A363" s="18" t="n"/>
      <c r="B363" s="23" t="n"/>
      <c r="C363" s="18" t="n"/>
      <c r="D363" s="18" t="n"/>
      <c r="E363" s="23"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c r="A364" s="18" t="n"/>
      <c r="B364" s="23" t="n"/>
      <c r="C364" s="18" t="n"/>
      <c r="D364" s="18" t="n"/>
      <c r="E364" s="23"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c r="A365" s="18" t="n"/>
      <c r="B365" s="23" t="n"/>
      <c r="C365" s="18" t="n"/>
      <c r="D365" s="18" t="n"/>
      <c r="E365" s="23"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c r="A366" s="18" t="n"/>
      <c r="B366" s="23" t="n"/>
      <c r="C366" s="18" t="n"/>
      <c r="D366" s="18" t="n"/>
      <c r="E366" s="23"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c r="A367" s="18" t="n"/>
      <c r="B367" s="23" t="n"/>
      <c r="C367" s="18" t="n"/>
      <c r="D367" s="18" t="n"/>
      <c r="E367" s="23"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c r="A368" s="18" t="n"/>
      <c r="B368" s="23" t="n"/>
      <c r="C368" s="18" t="n"/>
      <c r="D368" s="18" t="n"/>
      <c r="E368" s="23"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c r="A369" s="18" t="n"/>
      <c r="B369" s="23" t="n"/>
      <c r="C369" s="18" t="n"/>
      <c r="D369" s="18" t="n"/>
      <c r="E369" s="23"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c r="A370" s="18" t="n"/>
      <c r="B370" s="23" t="n"/>
      <c r="C370" s="18" t="n"/>
      <c r="D370" s="18" t="n"/>
      <c r="E370" s="23"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c r="A371" s="18" t="n"/>
      <c r="B371" s="23" t="n"/>
      <c r="C371" s="18" t="n"/>
      <c r="D371" s="18" t="n"/>
      <c r="E371" s="23"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c r="A372" s="18" t="n"/>
      <c r="B372" s="23" t="n"/>
      <c r="C372" s="18" t="n"/>
      <c r="D372" s="18" t="n"/>
      <c r="E372" s="23"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c r="A373" s="18" t="n"/>
      <c r="B373" s="23" t="n"/>
      <c r="C373" s="18" t="n"/>
      <c r="D373" s="18" t="n"/>
      <c r="E373" s="23"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c r="A374" s="18" t="n"/>
      <c r="B374" s="23" t="n"/>
      <c r="C374" s="18" t="n"/>
      <c r="D374" s="18" t="n"/>
      <c r="E374" s="23"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c r="A375" s="18" t="n"/>
      <c r="B375" s="23" t="n"/>
      <c r="C375" s="18" t="n"/>
      <c r="D375" s="18" t="n"/>
      <c r="E375" s="23"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c r="A376" s="18" t="n"/>
      <c r="B376" s="23" t="n"/>
      <c r="C376" s="18" t="n"/>
      <c r="D376" s="18" t="n"/>
      <c r="E376" s="23"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c r="A377" s="18" t="n"/>
      <c r="B377" s="23" t="n"/>
      <c r="C377" s="18" t="n"/>
      <c r="D377" s="18" t="n"/>
      <c r="E377" s="23"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c r="A378" s="18" t="n"/>
      <c r="B378" s="23" t="n"/>
      <c r="C378" s="18" t="n"/>
      <c r="D378" s="18" t="n"/>
      <c r="E378" s="23"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c r="A379" s="18" t="n"/>
      <c r="B379" s="23" t="n"/>
      <c r="C379" s="18" t="n"/>
      <c r="D379" s="18" t="n"/>
      <c r="E379" s="23"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c r="A380" s="18" t="n"/>
      <c r="B380" s="23" t="n"/>
      <c r="C380" s="18" t="n"/>
      <c r="D380" s="18" t="n"/>
      <c r="E380" s="23"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c r="A381" s="18" t="n"/>
      <c r="B381" s="23" t="n"/>
      <c r="C381" s="18" t="n"/>
      <c r="D381" s="18" t="n"/>
      <c r="E381" s="23"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c r="A382" s="18" t="n"/>
      <c r="B382" s="23" t="n"/>
      <c r="C382" s="18" t="n"/>
      <c r="D382" s="18" t="n"/>
      <c r="E382" s="23"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c r="A383" s="18" t="n"/>
      <c r="B383" s="23" t="n"/>
      <c r="C383" s="18" t="n"/>
      <c r="D383" s="18" t="n"/>
      <c r="E383" s="23"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c r="A384" s="18" t="n"/>
      <c r="B384" s="23" t="n"/>
      <c r="C384" s="18" t="n"/>
      <c r="D384" s="18" t="n"/>
      <c r="E384" s="23"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c r="A385" s="18" t="n"/>
      <c r="B385" s="23" t="n"/>
      <c r="C385" s="18" t="n"/>
      <c r="D385" s="18" t="n"/>
      <c r="E385" s="23"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c r="A386" s="18" t="n"/>
      <c r="B386" s="23" t="n"/>
      <c r="C386" s="18" t="n"/>
      <c r="D386" s="18" t="n"/>
      <c r="E386" s="23"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c r="A387" s="18" t="n"/>
      <c r="B387" s="23" t="n"/>
      <c r="C387" s="18" t="n"/>
      <c r="D387" s="18" t="n"/>
      <c r="E387" s="23"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c r="A388" s="18" t="n"/>
      <c r="B388" s="23" t="n"/>
      <c r="C388" s="18" t="n"/>
      <c r="D388" s="18" t="n"/>
      <c r="E388" s="23"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c r="A389" s="18" t="n"/>
      <c r="B389" s="23" t="n"/>
      <c r="C389" s="18" t="n"/>
      <c r="D389" s="18" t="n"/>
      <c r="E389" s="23"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c r="A390" s="18" t="n"/>
      <c r="B390" s="23" t="n"/>
      <c r="C390" s="18" t="n"/>
      <c r="D390" s="18" t="n"/>
      <c r="E390" s="23"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c r="A391" s="18" t="n"/>
      <c r="B391" s="23" t="n"/>
      <c r="C391" s="18" t="n"/>
      <c r="D391" s="18" t="n"/>
      <c r="E391" s="23"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c r="A392" s="18" t="n"/>
      <c r="B392" s="23" t="n"/>
      <c r="C392" s="18" t="n"/>
      <c r="D392" s="18" t="n"/>
      <c r="E392" s="23"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c r="A393" s="18" t="n"/>
      <c r="B393" s="23" t="n"/>
      <c r="C393" s="18" t="n"/>
      <c r="D393" s="18" t="n"/>
      <c r="E393" s="23"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c r="A394" s="18" t="n"/>
      <c r="B394" s="23" t="n"/>
      <c r="C394" s="18" t="n"/>
      <c r="D394" s="18" t="n"/>
      <c r="E394" s="23"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c r="A395" s="18" t="n"/>
      <c r="B395" s="23" t="n"/>
      <c r="C395" s="18" t="n"/>
      <c r="D395" s="18" t="n"/>
      <c r="E395" s="23"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c r="A396" s="18" t="n"/>
      <c r="B396" s="23" t="n"/>
      <c r="C396" s="18" t="n"/>
      <c r="D396" s="18" t="n"/>
      <c r="E396" s="23"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c r="A397" s="18" t="n"/>
      <c r="B397" s="23" t="n"/>
      <c r="C397" s="18" t="n"/>
      <c r="D397" s="18" t="n"/>
      <c r="E397" s="23"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c r="A398" s="18" t="n"/>
      <c r="B398" s="23" t="n"/>
      <c r="C398" s="18" t="n"/>
      <c r="D398" s="18" t="n"/>
      <c r="E398" s="23"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c r="A399" s="18" t="n"/>
      <c r="B399" s="23" t="n"/>
      <c r="C399" s="18" t="n"/>
      <c r="D399" s="18" t="n"/>
      <c r="E399" s="23"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c r="A400" s="18" t="n"/>
      <c r="B400" s="23" t="n"/>
      <c r="C400" s="18" t="n"/>
      <c r="D400" s="18" t="n"/>
      <c r="E400" s="23"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c r="A401" s="18" t="n"/>
      <c r="B401" s="23" t="n"/>
      <c r="C401" s="18" t="n"/>
      <c r="D401" s="18" t="n"/>
      <c r="E401" s="23"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c r="A402" s="18" t="n"/>
      <c r="B402" s="23" t="n"/>
      <c r="C402" s="18" t="n"/>
      <c r="D402" s="18" t="n"/>
      <c r="E402" s="23"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c r="A403" s="18" t="n"/>
      <c r="B403" s="23" t="n"/>
      <c r="C403" s="18" t="n"/>
      <c r="D403" s="18" t="n"/>
      <c r="E403" s="23"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c r="A404" s="18" t="n"/>
      <c r="B404" s="23" t="n"/>
      <c r="C404" s="18" t="n"/>
      <c r="D404" s="18" t="n"/>
      <c r="E404" s="23"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c r="A405" s="18" t="n"/>
      <c r="B405" s="23" t="n"/>
      <c r="C405" s="18" t="n"/>
      <c r="D405" s="18" t="n"/>
      <c r="E405" s="23"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c r="A406" s="18" t="n"/>
      <c r="B406" s="23" t="n"/>
      <c r="C406" s="18" t="n"/>
      <c r="D406" s="18" t="n"/>
      <c r="E406" s="23"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c r="A407" s="18" t="n"/>
      <c r="B407" s="23" t="n"/>
      <c r="C407" s="18" t="n"/>
      <c r="D407" s="18" t="n"/>
      <c r="E407" s="23"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c r="A408" s="18" t="n"/>
      <c r="B408" s="23" t="n"/>
      <c r="C408" s="18" t="n"/>
      <c r="D408" s="18" t="n"/>
      <c r="E408" s="23"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c r="A409" s="18" t="n"/>
      <c r="B409" s="23" t="n"/>
      <c r="C409" s="18" t="n"/>
      <c r="D409" s="18" t="n"/>
      <c r="E409" s="23"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c r="A410" s="18" t="n"/>
      <c r="B410" s="23" t="n"/>
      <c r="C410" s="18" t="n"/>
      <c r="D410" s="18" t="n"/>
      <c r="E410" s="23"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c r="A411" s="18" t="n"/>
      <c r="B411" s="23" t="n"/>
      <c r="C411" s="18" t="n"/>
      <c r="D411" s="18" t="n"/>
      <c r="E411" s="23"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c r="A412" s="18" t="n"/>
      <c r="B412" s="23" t="n"/>
      <c r="C412" s="18" t="n"/>
      <c r="D412" s="18" t="n"/>
      <c r="E412" s="23"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c r="A413" s="18" t="n"/>
      <c r="B413" s="23" t="n"/>
      <c r="C413" s="18" t="n"/>
      <c r="D413" s="18" t="n"/>
      <c r="E413" s="23"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c r="A414" s="18" t="n"/>
      <c r="B414" s="23" t="n"/>
      <c r="C414" s="18" t="n"/>
      <c r="D414" s="18" t="n"/>
      <c r="E414" s="23"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c r="A415" s="18" t="n"/>
      <c r="B415" s="23" t="n"/>
      <c r="C415" s="18" t="n"/>
      <c r="D415" s="18" t="n"/>
      <c r="E415" s="23"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c r="A416" s="18" t="n"/>
      <c r="B416" s="23" t="n"/>
      <c r="C416" s="18" t="n"/>
      <c r="D416" s="18" t="n"/>
      <c r="E416" s="23"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c r="A417" s="18" t="n"/>
      <c r="B417" s="23" t="n"/>
      <c r="C417" s="18" t="n"/>
      <c r="D417" s="18" t="n"/>
      <c r="E417" s="23"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c r="A418" s="18" t="n"/>
      <c r="B418" s="23" t="n"/>
      <c r="C418" s="18" t="n"/>
      <c r="D418" s="18" t="n"/>
      <c r="E418" s="23"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c r="A419" s="18" t="n"/>
      <c r="B419" s="23" t="n"/>
      <c r="C419" s="18" t="n"/>
      <c r="D419" s="18" t="n"/>
      <c r="E419" s="23"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c r="A420" s="18" t="n"/>
      <c r="B420" s="23" t="n"/>
      <c r="C420" s="18" t="n"/>
      <c r="D420" s="18" t="n"/>
      <c r="E420" s="23"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c r="A421" s="18" t="n"/>
      <c r="B421" s="23" t="n"/>
      <c r="C421" s="18" t="n"/>
      <c r="D421" s="18" t="n"/>
      <c r="E421" s="23"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c r="A422" s="18" t="n"/>
      <c r="B422" s="23" t="n"/>
      <c r="C422" s="18" t="n"/>
      <c r="D422" s="18" t="n"/>
      <c r="E422" s="23"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c r="A423" s="18" t="n"/>
      <c r="B423" s="23" t="n"/>
      <c r="C423" s="18" t="n"/>
      <c r="D423" s="18" t="n"/>
      <c r="E423" s="23"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c r="A424" s="18" t="n"/>
      <c r="B424" s="23" t="n"/>
      <c r="C424" s="18" t="n"/>
      <c r="D424" s="18" t="n"/>
      <c r="E424" s="23"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c r="A425" s="18" t="n"/>
      <c r="B425" s="23" t="n"/>
      <c r="C425" s="18" t="n"/>
      <c r="D425" s="18" t="n"/>
      <c r="E425" s="23"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c r="A426" s="18" t="n"/>
      <c r="B426" s="23" t="n"/>
      <c r="C426" s="18" t="n"/>
      <c r="D426" s="18" t="n"/>
      <c r="E426" s="23"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c r="A427" s="18" t="n"/>
      <c r="B427" s="23" t="n"/>
      <c r="C427" s="18" t="n"/>
      <c r="D427" s="18" t="n"/>
      <c r="E427" s="23"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c r="A428" s="18" t="n"/>
      <c r="B428" s="23" t="n"/>
      <c r="C428" s="18" t="n"/>
      <c r="D428" s="18" t="n"/>
      <c r="E428" s="23"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c r="A429" s="18" t="n"/>
      <c r="B429" s="23" t="n"/>
      <c r="C429" s="18" t="n"/>
      <c r="D429" s="18" t="n"/>
      <c r="E429" s="23"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c r="A430" s="18" t="n"/>
      <c r="B430" s="23" t="n"/>
      <c r="C430" s="18" t="n"/>
      <c r="D430" s="18" t="n"/>
      <c r="E430" s="23"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c r="A431" s="18" t="n"/>
      <c r="B431" s="23" t="n"/>
      <c r="C431" s="18" t="n"/>
      <c r="D431" s="18" t="n"/>
      <c r="E431" s="23"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c r="A432" s="18" t="n"/>
      <c r="B432" s="23" t="n"/>
      <c r="C432" s="18" t="n"/>
      <c r="D432" s="18" t="n"/>
      <c r="E432" s="23"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c r="A433" s="18" t="n"/>
      <c r="B433" s="23" t="n"/>
      <c r="C433" s="18" t="n"/>
      <c r="D433" s="18" t="n"/>
      <c r="E433" s="23"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c r="A434" s="18" t="n"/>
      <c r="B434" s="23" t="n"/>
      <c r="C434" s="18" t="n"/>
      <c r="D434" s="18" t="n"/>
      <c r="E434" s="23"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c r="A435" s="18" t="n"/>
      <c r="B435" s="23" t="n"/>
      <c r="C435" s="18" t="n"/>
      <c r="D435" s="18" t="n"/>
      <c r="E435" s="23"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c r="A436" s="18" t="n"/>
      <c r="B436" s="23" t="n"/>
      <c r="C436" s="18" t="n"/>
      <c r="D436" s="18" t="n"/>
      <c r="E436" s="23"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c r="A437" s="18" t="n"/>
      <c r="B437" s="23" t="n"/>
      <c r="C437" s="18" t="n"/>
      <c r="D437" s="18" t="n"/>
      <c r="E437" s="23"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c r="A438" s="18" t="n"/>
      <c r="B438" s="23" t="n"/>
      <c r="C438" s="18" t="n"/>
      <c r="D438" s="18" t="n"/>
      <c r="E438" s="23"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c r="A439" s="18" t="n"/>
      <c r="B439" s="23" t="n"/>
      <c r="C439" s="18" t="n"/>
      <c r="D439" s="18" t="n"/>
      <c r="E439" s="23"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c r="A440" s="18" t="n"/>
      <c r="B440" s="23" t="n"/>
      <c r="C440" s="18" t="n"/>
      <c r="D440" s="18" t="n"/>
      <c r="E440" s="23"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c r="A441" s="18" t="n"/>
      <c r="B441" s="23" t="n"/>
      <c r="C441" s="18" t="n"/>
      <c r="D441" s="18" t="n"/>
      <c r="E441" s="23"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c r="A442" s="18" t="n"/>
      <c r="B442" s="23" t="n"/>
      <c r="C442" s="18" t="n"/>
      <c r="D442" s="18" t="n"/>
      <c r="E442" s="23"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c r="A443" s="18" t="n"/>
      <c r="B443" s="23" t="n"/>
      <c r="C443" s="18" t="n"/>
      <c r="D443" s="18" t="n"/>
      <c r="E443" s="23"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c r="A444" s="18" t="n"/>
      <c r="B444" s="23" t="n"/>
      <c r="C444" s="18" t="n"/>
      <c r="D444" s="18" t="n"/>
      <c r="E444" s="23"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c r="A445" s="18" t="n"/>
      <c r="B445" s="23" t="n"/>
      <c r="C445" s="18" t="n"/>
      <c r="D445" s="18" t="n"/>
      <c r="E445" s="23"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c r="A446" s="18" t="n"/>
      <c r="B446" s="23" t="n"/>
      <c r="C446" s="18" t="n"/>
      <c r="D446" s="18" t="n"/>
      <c r="E446" s="23"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c r="A447" s="18" t="n"/>
      <c r="B447" s="23" t="n"/>
      <c r="C447" s="18" t="n"/>
      <c r="D447" s="18" t="n"/>
      <c r="E447" s="23"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c r="A448" s="18" t="n"/>
      <c r="B448" s="23" t="n"/>
      <c r="C448" s="18" t="n"/>
      <c r="D448" s="18" t="n"/>
      <c r="E448" s="23"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c r="A449" s="18" t="n"/>
      <c r="B449" s="23" t="n"/>
      <c r="C449" s="18" t="n"/>
      <c r="D449" s="18" t="n"/>
      <c r="E449" s="23"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c r="A450" s="18" t="n"/>
      <c r="B450" s="23" t="n"/>
      <c r="C450" s="18" t="n"/>
      <c r="D450" s="18" t="n"/>
      <c r="E450" s="23"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c r="A451" s="18" t="n"/>
      <c r="B451" s="23" t="n"/>
      <c r="C451" s="18" t="n"/>
      <c r="D451" s="18" t="n"/>
      <c r="E451" s="23"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c r="A452" s="18" t="n"/>
      <c r="B452" s="23" t="n"/>
      <c r="C452" s="18" t="n"/>
      <c r="D452" s="18" t="n"/>
      <c r="E452" s="23"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c r="A453" s="18" t="n"/>
      <c r="B453" s="23" t="n"/>
      <c r="C453" s="18" t="n"/>
      <c r="D453" s="18" t="n"/>
      <c r="E453" s="23"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c r="A454" s="18" t="n"/>
      <c r="B454" s="23" t="n"/>
      <c r="C454" s="18" t="n"/>
      <c r="D454" s="18" t="n"/>
      <c r="E454" s="23"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c r="A455" s="18" t="n"/>
      <c r="B455" s="23" t="n"/>
      <c r="C455" s="18" t="n"/>
      <c r="D455" s="18" t="n"/>
      <c r="E455" s="23"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c r="A456" s="18" t="n"/>
      <c r="B456" s="23" t="n"/>
      <c r="C456" s="18" t="n"/>
      <c r="D456" s="18" t="n"/>
      <c r="E456" s="23"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c r="A457" s="18" t="n"/>
      <c r="B457" s="23" t="n"/>
      <c r="C457" s="18" t="n"/>
      <c r="D457" s="18" t="n"/>
      <c r="E457" s="23"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c r="A458" s="18" t="n"/>
      <c r="B458" s="23" t="n"/>
      <c r="C458" s="18" t="n"/>
      <c r="D458" s="18" t="n"/>
      <c r="E458" s="23"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c r="A459" s="18" t="n"/>
      <c r="B459" s="23" t="n"/>
      <c r="C459" s="18" t="n"/>
      <c r="D459" s="18" t="n"/>
      <c r="E459" s="23"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c r="A460" s="18" t="n"/>
      <c r="B460" s="23" t="n"/>
      <c r="C460" s="18" t="n"/>
      <c r="D460" s="18" t="n"/>
      <c r="E460" s="23"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c r="A461" s="18" t="n"/>
      <c r="B461" s="23" t="n"/>
      <c r="C461" s="18" t="n"/>
      <c r="D461" s="18" t="n"/>
      <c r="E461" s="23"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c r="A462" s="18" t="n"/>
      <c r="B462" s="23" t="n"/>
      <c r="C462" s="18" t="n"/>
      <c r="D462" s="18" t="n"/>
      <c r="E462" s="23"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c r="A463" s="18" t="n"/>
      <c r="B463" s="23" t="n"/>
      <c r="C463" s="18" t="n"/>
      <c r="D463" s="18" t="n"/>
      <c r="E463" s="23"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c r="A464" s="18" t="n"/>
      <c r="B464" s="23" t="n"/>
      <c r="C464" s="18" t="n"/>
      <c r="D464" s="18" t="n"/>
      <c r="E464" s="23"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c r="A465" s="18" t="n"/>
      <c r="B465" s="23" t="n"/>
      <c r="C465" s="18" t="n"/>
      <c r="D465" s="18" t="n"/>
      <c r="E465" s="23"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c r="A466" s="18" t="n"/>
      <c r="B466" s="23" t="n"/>
      <c r="C466" s="18" t="n"/>
      <c r="D466" s="18" t="n"/>
      <c r="E466" s="23"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c r="A467" s="18" t="n"/>
      <c r="B467" s="23" t="n"/>
      <c r="C467" s="18" t="n"/>
      <c r="D467" s="18" t="n"/>
      <c r="E467" s="23"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c r="A468" s="18" t="n"/>
      <c r="B468" s="23" t="n"/>
      <c r="C468" s="18" t="n"/>
      <c r="D468" s="18" t="n"/>
      <c r="E468" s="23"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c r="A469" s="18" t="n"/>
      <c r="B469" s="23" t="n"/>
      <c r="C469" s="18" t="n"/>
      <c r="D469" s="18" t="n"/>
      <c r="E469" s="23"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c r="A470" s="18" t="n"/>
      <c r="B470" s="23" t="n"/>
      <c r="C470" s="18" t="n"/>
      <c r="D470" s="18" t="n"/>
      <c r="E470" s="23"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c r="A471" s="18" t="n"/>
      <c r="B471" s="23" t="n"/>
      <c r="C471" s="18" t="n"/>
      <c r="D471" s="18" t="n"/>
      <c r="E471" s="23"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c r="A472" s="18" t="n"/>
      <c r="B472" s="23" t="n"/>
      <c r="C472" s="18" t="n"/>
      <c r="D472" s="18" t="n"/>
      <c r="E472" s="23"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c r="A473" s="18" t="n"/>
      <c r="B473" s="23" t="n"/>
      <c r="C473" s="18" t="n"/>
      <c r="D473" s="18" t="n"/>
      <c r="E473" s="23"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c r="A474" s="18" t="n"/>
      <c r="B474" s="23" t="n"/>
      <c r="C474" s="18" t="n"/>
      <c r="D474" s="18" t="n"/>
      <c r="E474" s="23"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c r="A475" s="18" t="n"/>
      <c r="B475" s="23" t="n"/>
      <c r="C475" s="18" t="n"/>
      <c r="D475" s="18" t="n"/>
      <c r="E475" s="23"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c r="A476" s="18" t="n"/>
      <c r="B476" s="23" t="n"/>
      <c r="C476" s="18" t="n"/>
      <c r="D476" s="18" t="n"/>
      <c r="E476" s="23"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c r="A477" s="18" t="n"/>
      <c r="B477" s="23" t="n"/>
      <c r="C477" s="18" t="n"/>
      <c r="D477" s="18" t="n"/>
      <c r="E477" s="23"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c r="A478" s="18" t="n"/>
      <c r="B478" s="23" t="n"/>
      <c r="C478" s="18" t="n"/>
      <c r="D478" s="18" t="n"/>
      <c r="E478" s="23"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c r="A479" s="18" t="n"/>
      <c r="B479" s="23" t="n"/>
      <c r="C479" s="18" t="n"/>
      <c r="D479" s="18" t="n"/>
      <c r="E479" s="23"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c r="A480" s="18" t="n"/>
      <c r="B480" s="23" t="n"/>
      <c r="C480" s="18" t="n"/>
      <c r="D480" s="18" t="n"/>
      <c r="E480" s="23"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c r="A481" s="18" t="n"/>
      <c r="B481" s="23" t="n"/>
      <c r="C481" s="18" t="n"/>
      <c r="D481" s="18" t="n"/>
      <c r="E481" s="23"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c r="A482" s="18" t="n"/>
      <c r="B482" s="23" t="n"/>
      <c r="C482" s="18" t="n"/>
      <c r="D482" s="18" t="n"/>
      <c r="E482" s="23"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c r="A483" s="18" t="n"/>
      <c r="B483" s="23" t="n"/>
      <c r="C483" s="18" t="n"/>
      <c r="D483" s="18" t="n"/>
      <c r="E483" s="23"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c r="A484" s="18" t="n"/>
      <c r="B484" s="23" t="n"/>
      <c r="C484" s="18" t="n"/>
      <c r="D484" s="18" t="n"/>
      <c r="E484" s="23"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c r="A485" s="18" t="n"/>
      <c r="B485" s="23" t="n"/>
      <c r="C485" s="18" t="n"/>
      <c r="D485" s="18" t="n"/>
      <c r="E485" s="23"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c r="A486" s="18" t="n"/>
      <c r="B486" s="23" t="n"/>
      <c r="C486" s="18" t="n"/>
      <c r="D486" s="18" t="n"/>
      <c r="E486" s="23"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c r="A487" s="18" t="n"/>
      <c r="B487" s="23" t="n"/>
      <c r="C487" s="18" t="n"/>
      <c r="D487" s="18" t="n"/>
      <c r="E487" s="23"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c r="A488" s="18" t="n"/>
      <c r="B488" s="23" t="n"/>
      <c r="C488" s="18" t="n"/>
      <c r="D488" s="18" t="n"/>
      <c r="E488" s="23"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c r="A489" s="18" t="n"/>
      <c r="B489" s="23" t="n"/>
      <c r="C489" s="18" t="n"/>
      <c r="D489" s="18" t="n"/>
      <c r="E489" s="23"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c r="A490" s="18" t="n"/>
      <c r="B490" s="23" t="n"/>
      <c r="C490" s="18" t="n"/>
      <c r="D490" s="18" t="n"/>
      <c r="E490" s="23"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c r="A491" s="18" t="n"/>
      <c r="B491" s="23" t="n"/>
      <c r="C491" s="18" t="n"/>
      <c r="D491" s="18" t="n"/>
      <c r="E491" s="23"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c r="A492" s="18" t="n"/>
      <c r="B492" s="23" t="n"/>
      <c r="C492" s="18" t="n"/>
      <c r="D492" s="18" t="n"/>
      <c r="E492" s="23"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c r="A493" s="18" t="n"/>
      <c r="B493" s="23" t="n"/>
      <c r="C493" s="18" t="n"/>
      <c r="D493" s="18" t="n"/>
      <c r="E493" s="23"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c r="A494" s="18" t="n"/>
      <c r="B494" s="23" t="n"/>
      <c r="C494" s="18" t="n"/>
      <c r="D494" s="18" t="n"/>
      <c r="E494" s="23"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c r="A495" s="18" t="n"/>
      <c r="B495" s="23" t="n"/>
      <c r="C495" s="18" t="n"/>
      <c r="D495" s="18" t="n"/>
      <c r="E495" s="23"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c r="A496" s="18" t="n"/>
      <c r="B496" s="23" t="n"/>
      <c r="C496" s="18" t="n"/>
      <c r="D496" s="18" t="n"/>
      <c r="E496" s="23"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c r="A497" s="18" t="n"/>
      <c r="B497" s="23" t="n"/>
      <c r="C497" s="18" t="n"/>
      <c r="D497" s="18" t="n"/>
      <c r="E497" s="23"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c r="A498" s="18" t="n"/>
      <c r="B498" s="23" t="n"/>
      <c r="C498" s="18" t="n"/>
      <c r="D498" s="18" t="n"/>
      <c r="E498" s="23"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c r="A499" s="18" t="n"/>
      <c r="B499" s="23" t="n"/>
      <c r="C499" s="18" t="n"/>
      <c r="D499" s="18" t="n"/>
      <c r="E499" s="23"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c r="A500" s="18" t="n"/>
      <c r="B500" s="23" t="n"/>
      <c r="C500" s="18" t="n"/>
      <c r="D500" s="18" t="n"/>
      <c r="E500" s="23"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c r="A501" s="18" t="n"/>
      <c r="B501" s="23" t="n"/>
      <c r="C501" s="18" t="n"/>
      <c r="D501" s="18" t="n"/>
      <c r="E501" s="23"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c r="A502" s="18" t="n"/>
      <c r="B502" s="23" t="n"/>
      <c r="C502" s="18" t="n"/>
      <c r="D502" s="18" t="n"/>
      <c r="E502" s="23"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c r="A503" s="18" t="n"/>
      <c r="B503" s="23" t="n"/>
      <c r="C503" s="18" t="n"/>
      <c r="D503" s="18" t="n"/>
      <c r="E503" s="23"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c r="A504" s="18" t="n"/>
      <c r="B504" s="23" t="n"/>
      <c r="C504" s="18" t="n"/>
      <c r="D504" s="18" t="n"/>
      <c r="E504" s="23"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c r="A505" s="18" t="n"/>
      <c r="B505" s="23" t="n"/>
      <c r="C505" s="18" t="n"/>
      <c r="D505" s="18" t="n"/>
      <c r="E505" s="23"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c r="A506" s="18" t="n"/>
      <c r="B506" s="23" t="n"/>
      <c r="C506" s="18" t="n"/>
      <c r="D506" s="18" t="n"/>
      <c r="E506" s="23"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c r="A507" s="18" t="n"/>
      <c r="B507" s="23" t="n"/>
      <c r="C507" s="18" t="n"/>
      <c r="D507" s="18" t="n"/>
      <c r="E507" s="23"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c r="A508" s="18" t="n"/>
      <c r="B508" s="23" t="n"/>
      <c r="C508" s="18" t="n"/>
      <c r="D508" s="18" t="n"/>
      <c r="E508" s="23"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c r="A509" s="18" t="n"/>
      <c r="B509" s="23" t="n"/>
      <c r="C509" s="18" t="n"/>
      <c r="D509" s="18" t="n"/>
      <c r="E509" s="23"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c r="A510" s="18" t="n"/>
      <c r="B510" s="23" t="n"/>
      <c r="C510" s="18" t="n"/>
      <c r="D510" s="18" t="n"/>
      <c r="E510" s="23"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c r="A511" s="18" t="n"/>
      <c r="B511" s="23" t="n"/>
      <c r="C511" s="18" t="n"/>
      <c r="D511" s="18" t="n"/>
      <c r="E511" s="23"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c r="A512" s="18" t="n"/>
      <c r="B512" s="23" t="n"/>
      <c r="C512" s="18" t="n"/>
      <c r="D512" s="18" t="n"/>
      <c r="E512" s="23"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c r="A513" s="18" t="n"/>
      <c r="B513" s="23" t="n"/>
      <c r="C513" s="18" t="n"/>
      <c r="D513" s="18" t="n"/>
      <c r="E513" s="23"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c r="A514" s="18" t="n"/>
      <c r="B514" s="23" t="n"/>
      <c r="C514" s="18" t="n"/>
      <c r="D514" s="18" t="n"/>
      <c r="E514" s="23"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c r="A515" s="18" t="n"/>
      <c r="B515" s="23" t="n"/>
      <c r="C515" s="18" t="n"/>
      <c r="D515" s="18" t="n"/>
      <c r="E515" s="23"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c r="A516" s="18" t="n"/>
      <c r="B516" s="23" t="n"/>
      <c r="C516" s="18" t="n"/>
      <c r="D516" s="18" t="n"/>
      <c r="E516" s="23"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c r="A517" s="18" t="n"/>
      <c r="B517" s="23" t="n"/>
      <c r="C517" s="18" t="n"/>
      <c r="D517" s="18" t="n"/>
      <c r="E517" s="23"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c r="A518" s="18" t="n"/>
      <c r="B518" s="23" t="n"/>
      <c r="C518" s="18" t="n"/>
      <c r="D518" s="18" t="n"/>
      <c r="E518" s="23"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c r="A519" s="18" t="n"/>
      <c r="B519" s="23" t="n"/>
      <c r="C519" s="18" t="n"/>
      <c r="D519" s="18" t="n"/>
      <c r="E519" s="23"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c r="A520" s="18" t="n"/>
      <c r="B520" s="23" t="n"/>
      <c r="C520" s="18" t="n"/>
      <c r="D520" s="18" t="n"/>
      <c r="E520" s="23"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c r="A521" s="18" t="n"/>
      <c r="B521" s="23" t="n"/>
      <c r="C521" s="18" t="n"/>
      <c r="D521" s="18" t="n"/>
      <c r="E521" s="23"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c r="A522" s="18" t="n"/>
      <c r="B522" s="23" t="n"/>
      <c r="C522" s="18" t="n"/>
      <c r="D522" s="18" t="n"/>
      <c r="E522" s="23"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c r="A523" s="18" t="n"/>
      <c r="B523" s="23" t="n"/>
      <c r="C523" s="18" t="n"/>
      <c r="D523" s="18" t="n"/>
      <c r="E523" s="23"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c r="A524" s="18" t="n"/>
      <c r="B524" s="23" t="n"/>
      <c r="C524" s="18" t="n"/>
      <c r="D524" s="18" t="n"/>
      <c r="E524" s="23"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c r="A525" s="18" t="n"/>
      <c r="B525" s="23" t="n"/>
      <c r="C525" s="18" t="n"/>
      <c r="D525" s="18" t="n"/>
      <c r="E525" s="23"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c r="A526" s="18" t="n"/>
      <c r="B526" s="23" t="n"/>
      <c r="C526" s="18" t="n"/>
      <c r="D526" s="18" t="n"/>
      <c r="E526" s="23"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c r="A527" s="18" t="n"/>
      <c r="B527" s="23" t="n"/>
      <c r="C527" s="18" t="n"/>
      <c r="D527" s="18" t="n"/>
      <c r="E527" s="23"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c r="A528" s="18" t="n"/>
      <c r="B528" s="23" t="n"/>
      <c r="C528" s="18" t="n"/>
      <c r="D528" s="18" t="n"/>
      <c r="E528" s="23"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c r="A529" s="18" t="n"/>
      <c r="B529" s="23" t="n"/>
      <c r="C529" s="18" t="n"/>
      <c r="D529" s="18" t="n"/>
      <c r="E529" s="23"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c r="A530" s="18" t="n"/>
      <c r="B530" s="23" t="n"/>
      <c r="C530" s="18" t="n"/>
      <c r="D530" s="18" t="n"/>
      <c r="E530" s="23"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c r="A531" s="18" t="n"/>
      <c r="B531" s="23" t="n"/>
      <c r="C531" s="18" t="n"/>
      <c r="D531" s="18" t="n"/>
      <c r="E531" s="23"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c r="A532" s="18" t="n"/>
      <c r="B532" s="23" t="n"/>
      <c r="C532" s="18" t="n"/>
      <c r="D532" s="18" t="n"/>
      <c r="E532" s="23"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c r="A533" s="18" t="n"/>
      <c r="B533" s="23" t="n"/>
      <c r="C533" s="18" t="n"/>
      <c r="D533" s="18" t="n"/>
      <c r="E533" s="23"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c r="A534" s="18" t="n"/>
      <c r="B534" s="23" t="n"/>
      <c r="C534" s="18" t="n"/>
      <c r="D534" s="18" t="n"/>
      <c r="E534" s="23"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c r="A535" s="18" t="n"/>
      <c r="B535" s="23" t="n"/>
      <c r="C535" s="18" t="n"/>
      <c r="D535" s="18" t="n"/>
      <c r="E535" s="23"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c r="A536" s="18" t="n"/>
      <c r="B536" s="23" t="n"/>
      <c r="C536" s="18" t="n"/>
      <c r="D536" s="18" t="n"/>
      <c r="E536" s="23"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c r="A537" s="18" t="n"/>
      <c r="B537" s="23" t="n"/>
      <c r="C537" s="18" t="n"/>
      <c r="D537" s="18" t="n"/>
      <c r="E537" s="23"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c r="A538" s="18" t="n"/>
      <c r="B538" s="23" t="n"/>
      <c r="C538" s="18" t="n"/>
      <c r="D538" s="18" t="n"/>
      <c r="E538" s="23"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c r="A539" s="18" t="n"/>
      <c r="B539" s="23" t="n"/>
      <c r="C539" s="18" t="n"/>
      <c r="D539" s="18" t="n"/>
      <c r="E539" s="23"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c r="A540" s="18" t="n"/>
      <c r="B540" s="23" t="n"/>
      <c r="C540" s="18" t="n"/>
      <c r="D540" s="18" t="n"/>
      <c r="E540" s="23"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c r="A541" s="18" t="n"/>
      <c r="B541" s="23" t="n"/>
      <c r="C541" s="18" t="n"/>
      <c r="D541" s="18" t="n"/>
      <c r="E541" s="23"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c r="A542" s="18" t="n"/>
      <c r="B542" s="23" t="n"/>
      <c r="C542" s="18" t="n"/>
      <c r="D542" s="18" t="n"/>
      <c r="E542" s="23"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c r="A543" s="18" t="n"/>
      <c r="B543" s="23" t="n"/>
      <c r="C543" s="18" t="n"/>
      <c r="D543" s="18" t="n"/>
      <c r="E543" s="23"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c r="A544" s="18" t="n"/>
      <c r="B544" s="23" t="n"/>
      <c r="C544" s="18" t="n"/>
      <c r="D544" s="18" t="n"/>
      <c r="E544" s="23"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c r="A545" s="18" t="n"/>
      <c r="B545" s="23" t="n"/>
      <c r="C545" s="18" t="n"/>
      <c r="D545" s="18" t="n"/>
      <c r="E545" s="23"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c r="A546" s="18" t="n"/>
      <c r="B546" s="23" t="n"/>
      <c r="C546" s="18" t="n"/>
      <c r="D546" s="18" t="n"/>
      <c r="E546" s="23"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c r="A547" s="18" t="n"/>
      <c r="B547" s="23" t="n"/>
      <c r="C547" s="18" t="n"/>
      <c r="D547" s="18" t="n"/>
      <c r="E547" s="23"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c r="A548" s="18" t="n"/>
      <c r="B548" s="23" t="n"/>
      <c r="C548" s="18" t="n"/>
      <c r="D548" s="18" t="n"/>
      <c r="E548" s="23"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c r="A549" s="18" t="n"/>
      <c r="B549" s="23" t="n"/>
      <c r="C549" s="18" t="n"/>
      <c r="D549" s="18" t="n"/>
      <c r="E549" s="23"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c r="A550" s="18" t="n"/>
      <c r="B550" s="23" t="n"/>
      <c r="C550" s="18" t="n"/>
      <c r="D550" s="18" t="n"/>
      <c r="E550" s="23"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c r="A551" s="18" t="n"/>
      <c r="B551" s="23" t="n"/>
      <c r="C551" s="18" t="n"/>
      <c r="D551" s="18" t="n"/>
      <c r="E551" s="23"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c r="A552" s="18" t="n"/>
      <c r="B552" s="23" t="n"/>
      <c r="C552" s="18" t="n"/>
      <c r="D552" s="18" t="n"/>
      <c r="E552" s="23"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c r="A553" s="18" t="n"/>
      <c r="B553" s="23" t="n"/>
      <c r="C553" s="18" t="n"/>
      <c r="D553" s="18" t="n"/>
      <c r="E553" s="23"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c r="A554" s="18" t="n"/>
      <c r="B554" s="23" t="n"/>
      <c r="C554" s="18" t="n"/>
      <c r="D554" s="18" t="n"/>
      <c r="E554" s="23"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c r="A555" s="18" t="n"/>
      <c r="B555" s="23" t="n"/>
      <c r="C555" s="18" t="n"/>
      <c r="D555" s="18" t="n"/>
      <c r="E555" s="23"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c r="A556" s="18" t="n"/>
      <c r="B556" s="23" t="n"/>
      <c r="C556" s="18" t="n"/>
      <c r="D556" s="18" t="n"/>
      <c r="E556" s="23"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c r="A557" s="18" t="n"/>
      <c r="B557" s="23" t="n"/>
      <c r="C557" s="18" t="n"/>
      <c r="D557" s="18" t="n"/>
      <c r="E557" s="23"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c r="A558" s="18" t="n"/>
      <c r="B558" s="23" t="n"/>
      <c r="C558" s="18" t="n"/>
      <c r="D558" s="18" t="n"/>
      <c r="E558" s="23"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c r="A559" s="18" t="n"/>
      <c r="B559" s="23" t="n"/>
      <c r="C559" s="18" t="n"/>
      <c r="D559" s="18" t="n"/>
      <c r="E559" s="23"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c r="A560" s="18" t="n"/>
      <c r="B560" s="23" t="n"/>
      <c r="C560" s="18" t="n"/>
      <c r="D560" s="18" t="n"/>
      <c r="E560" s="23"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c r="A561" s="18" t="n"/>
      <c r="B561" s="23" t="n"/>
      <c r="C561" s="18" t="n"/>
      <c r="D561" s="18" t="n"/>
      <c r="E561" s="23"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c r="A562" s="18" t="n"/>
      <c r="B562" s="23" t="n"/>
      <c r="C562" s="18" t="n"/>
      <c r="D562" s="18" t="n"/>
      <c r="E562" s="23"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c r="A563" s="18" t="n"/>
      <c r="B563" s="23" t="n"/>
      <c r="C563" s="18" t="n"/>
      <c r="D563" s="18" t="n"/>
      <c r="E563" s="23"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c r="A564" s="18" t="n"/>
      <c r="B564" s="23" t="n"/>
      <c r="C564" s="18" t="n"/>
      <c r="D564" s="18" t="n"/>
      <c r="E564" s="23"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c r="A565" s="18" t="n"/>
      <c r="B565" s="23" t="n"/>
      <c r="C565" s="18" t="n"/>
      <c r="D565" s="18" t="n"/>
      <c r="E565" s="23"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c r="A566" s="18" t="n"/>
      <c r="B566" s="23" t="n"/>
      <c r="C566" s="18" t="n"/>
      <c r="D566" s="18" t="n"/>
      <c r="E566" s="23"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c r="A567" s="18" t="n"/>
      <c r="B567" s="23" t="n"/>
      <c r="C567" s="18" t="n"/>
      <c r="D567" s="18" t="n"/>
      <c r="E567" s="23"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c r="A568" s="18" t="n"/>
      <c r="B568" s="23" t="n"/>
      <c r="C568" s="18" t="n"/>
      <c r="D568" s="18" t="n"/>
      <c r="E568" s="23"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c r="A569" s="18" t="n"/>
      <c r="B569" s="23" t="n"/>
      <c r="C569" s="18" t="n"/>
      <c r="D569" s="18" t="n"/>
      <c r="E569" s="23"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c r="A570" s="18" t="n"/>
      <c r="B570" s="23" t="n"/>
      <c r="C570" s="18" t="n"/>
      <c r="D570" s="18" t="n"/>
      <c r="E570" s="23"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c r="A571" s="18" t="n"/>
      <c r="B571" s="23" t="n"/>
      <c r="C571" s="18" t="n"/>
      <c r="D571" s="18" t="n"/>
      <c r="E571" s="23"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c r="A572" s="18" t="n"/>
      <c r="B572" s="23" t="n"/>
      <c r="C572" s="18" t="n"/>
      <c r="D572" s="18" t="n"/>
      <c r="E572" s="23"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c r="A573" s="18" t="n"/>
      <c r="B573" s="23" t="n"/>
      <c r="C573" s="18" t="n"/>
      <c r="D573" s="18" t="n"/>
      <c r="E573" s="23"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c r="A574" s="18" t="n"/>
      <c r="B574" s="23" t="n"/>
      <c r="C574" s="18" t="n"/>
      <c r="D574" s="18" t="n"/>
      <c r="E574" s="23"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c r="A575" s="18" t="n"/>
      <c r="B575" s="23" t="n"/>
      <c r="C575" s="18" t="n"/>
      <c r="D575" s="18" t="n"/>
      <c r="E575" s="23"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c r="A576" s="18" t="n"/>
      <c r="B576" s="23" t="n"/>
      <c r="C576" s="18" t="n"/>
      <c r="D576" s="18" t="n"/>
      <c r="E576" s="23"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c r="A577" s="18" t="n"/>
      <c r="B577" s="23" t="n"/>
      <c r="C577" s="18" t="n"/>
      <c r="D577" s="18" t="n"/>
      <c r="E577" s="23"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c r="A578" s="18" t="n"/>
      <c r="B578" s="23" t="n"/>
      <c r="C578" s="18" t="n"/>
      <c r="D578" s="18" t="n"/>
      <c r="E578" s="23"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c r="A579" s="18" t="n"/>
      <c r="B579" s="23" t="n"/>
      <c r="C579" s="18" t="n"/>
      <c r="D579" s="18" t="n"/>
      <c r="E579" s="23"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c r="A580" s="18" t="n"/>
      <c r="B580" s="23" t="n"/>
      <c r="C580" s="18" t="n"/>
      <c r="D580" s="18" t="n"/>
      <c r="E580" s="23"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c r="A581" s="18" t="n"/>
      <c r="B581" s="23" t="n"/>
      <c r="C581" s="18" t="n"/>
      <c r="D581" s="18" t="n"/>
      <c r="E581" s="23"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c r="A582" s="18" t="n"/>
      <c r="B582" s="23" t="n"/>
      <c r="C582" s="18" t="n"/>
      <c r="D582" s="18" t="n"/>
      <c r="E582" s="23"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c r="A583" s="18" t="n"/>
      <c r="B583" s="23" t="n"/>
      <c r="C583" s="18" t="n"/>
      <c r="D583" s="18" t="n"/>
      <c r="E583" s="23"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c r="A584" s="18" t="n"/>
      <c r="B584" s="23" t="n"/>
      <c r="C584" s="18" t="n"/>
      <c r="D584" s="18" t="n"/>
      <c r="E584" s="23"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c r="A585" s="18" t="n"/>
      <c r="B585" s="23" t="n"/>
      <c r="C585" s="18" t="n"/>
      <c r="D585" s="18" t="n"/>
      <c r="E585" s="23"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c r="A586" s="18" t="n"/>
      <c r="B586" s="23" t="n"/>
      <c r="C586" s="18" t="n"/>
      <c r="D586" s="18" t="n"/>
      <c r="E586" s="23"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c r="A587" s="18" t="n"/>
      <c r="B587" s="23" t="n"/>
      <c r="C587" s="18" t="n"/>
      <c r="D587" s="18" t="n"/>
      <c r="E587" s="23"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c r="A588" s="18" t="n"/>
      <c r="B588" s="23" t="n"/>
      <c r="C588" s="18" t="n"/>
      <c r="D588" s="18" t="n"/>
      <c r="E588" s="23"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c r="A589" s="18" t="n"/>
      <c r="B589" s="23" t="n"/>
      <c r="C589" s="18" t="n"/>
      <c r="D589" s="18" t="n"/>
      <c r="E589" s="23"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c r="A590" s="18" t="n"/>
      <c r="B590" s="23" t="n"/>
      <c r="C590" s="18" t="n"/>
      <c r="D590" s="18" t="n"/>
      <c r="E590" s="23"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c r="A591" s="18" t="n"/>
      <c r="B591" s="23" t="n"/>
      <c r="C591" s="18" t="n"/>
      <c r="D591" s="18" t="n"/>
      <c r="E591" s="23"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c r="A592" s="18" t="n"/>
      <c r="B592" s="23" t="n"/>
      <c r="C592" s="18" t="n"/>
      <c r="D592" s="18" t="n"/>
      <c r="E592" s="23"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c r="A593" s="18" t="n"/>
      <c r="B593" s="23" t="n"/>
      <c r="C593" s="18" t="n"/>
      <c r="D593" s="18" t="n"/>
      <c r="E593" s="23"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c r="A594" s="18" t="n"/>
      <c r="B594" s="23" t="n"/>
      <c r="C594" s="18" t="n"/>
      <c r="D594" s="18" t="n"/>
      <c r="E594" s="23"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c r="A595" s="18" t="n"/>
      <c r="B595" s="23" t="n"/>
      <c r="C595" s="18" t="n"/>
      <c r="D595" s="18" t="n"/>
      <c r="E595" s="23"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c r="A596" s="18" t="n"/>
      <c r="B596" s="23" t="n"/>
      <c r="C596" s="18" t="n"/>
      <c r="D596" s="18" t="n"/>
      <c r="E596" s="23"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c r="A597" s="18" t="n"/>
      <c r="B597" s="23" t="n"/>
      <c r="C597" s="18" t="n"/>
      <c r="D597" s="18" t="n"/>
      <c r="E597" s="23"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c r="A598" s="18" t="n"/>
      <c r="B598" s="23" t="n"/>
      <c r="C598" s="18" t="n"/>
      <c r="D598" s="18" t="n"/>
      <c r="E598" s="23"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c r="A599" s="18" t="n"/>
      <c r="B599" s="23" t="n"/>
      <c r="C599" s="18" t="n"/>
      <c r="D599" s="18" t="n"/>
      <c r="E599" s="23"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c r="A600" s="18" t="n"/>
      <c r="B600" s="23" t="n"/>
      <c r="C600" s="18" t="n"/>
      <c r="D600" s="18" t="n"/>
      <c r="E600" s="23"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c r="A601" s="18" t="n"/>
      <c r="B601" s="23" t="n"/>
      <c r="C601" s="18" t="n"/>
      <c r="D601" s="18" t="n"/>
      <c r="E601" s="23"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c r="A602" s="18" t="n"/>
      <c r="B602" s="23" t="n"/>
      <c r="C602" s="18" t="n"/>
      <c r="D602" s="18" t="n"/>
      <c r="E602" s="23"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c r="A603" s="18" t="n"/>
      <c r="B603" s="23" t="n"/>
      <c r="C603" s="18" t="n"/>
      <c r="D603" s="18" t="n"/>
      <c r="E603" s="23"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c r="A604" s="18" t="n"/>
      <c r="B604" s="23" t="n"/>
      <c r="C604" s="18" t="n"/>
      <c r="D604" s="18" t="n"/>
      <c r="E604" s="23"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c r="A605" s="18" t="n"/>
      <c r="B605" s="23" t="n"/>
      <c r="C605" s="18" t="n"/>
      <c r="D605" s="18" t="n"/>
      <c r="E605" s="23"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c r="A606" s="18" t="n"/>
      <c r="B606" s="23" t="n"/>
      <c r="C606" s="18" t="n"/>
      <c r="D606" s="18" t="n"/>
      <c r="E606" s="23"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c r="A607" s="18" t="n"/>
      <c r="B607" s="23" t="n"/>
      <c r="C607" s="18" t="n"/>
      <c r="D607" s="18" t="n"/>
      <c r="E607" s="23"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c r="A608" s="18" t="n"/>
      <c r="B608" s="23" t="n"/>
      <c r="C608" s="18" t="n"/>
      <c r="D608" s="18" t="n"/>
      <c r="E608" s="23"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c r="A609" s="18" t="n"/>
      <c r="B609" s="23" t="n"/>
      <c r="C609" s="18" t="n"/>
      <c r="D609" s="18" t="n"/>
      <c r="E609" s="23"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c r="A610" s="18" t="n"/>
      <c r="B610" s="23" t="n"/>
      <c r="C610" s="18" t="n"/>
      <c r="D610" s="18" t="n"/>
      <c r="E610" s="23"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c r="A611" s="18" t="n"/>
      <c r="B611" s="23" t="n"/>
      <c r="C611" s="18" t="n"/>
      <c r="D611" s="18" t="n"/>
      <c r="E611" s="23"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c r="A612" s="18" t="n"/>
      <c r="B612" s="23" t="n"/>
      <c r="C612" s="18" t="n"/>
      <c r="D612" s="18" t="n"/>
      <c r="E612" s="23"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c r="A613" s="18" t="n"/>
      <c r="B613" s="23" t="n"/>
      <c r="C613" s="18" t="n"/>
      <c r="D613" s="18" t="n"/>
      <c r="E613" s="23"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c r="A614" s="18" t="n"/>
      <c r="B614" s="23" t="n"/>
      <c r="C614" s="18" t="n"/>
      <c r="D614" s="18" t="n"/>
      <c r="E614" s="23"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c r="A615" s="18" t="n"/>
      <c r="B615" s="23" t="n"/>
      <c r="C615" s="18" t="n"/>
      <c r="D615" s="18" t="n"/>
      <c r="E615" s="23"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c r="A616" s="18" t="n"/>
      <c r="B616" s="23" t="n"/>
      <c r="C616" s="18" t="n"/>
      <c r="D616" s="18" t="n"/>
      <c r="E616" s="23"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c r="A617" s="18" t="n"/>
      <c r="B617" s="23" t="n"/>
      <c r="C617" s="18" t="n"/>
      <c r="D617" s="18" t="n"/>
      <c r="E617" s="23"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c r="A618" s="18" t="n"/>
      <c r="B618" s="23" t="n"/>
      <c r="C618" s="18" t="n"/>
      <c r="D618" s="18" t="n"/>
      <c r="E618" s="23"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c r="A619" s="18" t="n"/>
      <c r="B619" s="23" t="n"/>
      <c r="C619" s="18" t="n"/>
      <c r="D619" s="18" t="n"/>
      <c r="E619" s="23"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c r="A620" s="18" t="n"/>
      <c r="B620" s="23" t="n"/>
      <c r="C620" s="18" t="n"/>
      <c r="D620" s="18" t="n"/>
      <c r="E620" s="23"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c r="A621" s="18" t="n"/>
      <c r="B621" s="23" t="n"/>
      <c r="C621" s="18" t="n"/>
      <c r="D621" s="18" t="n"/>
      <c r="E621" s="23"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c r="A622" s="18" t="n"/>
      <c r="B622" s="23" t="n"/>
      <c r="C622" s="18" t="n"/>
      <c r="D622" s="18" t="n"/>
      <c r="E622" s="23"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c r="A623" s="18" t="n"/>
      <c r="B623" s="23" t="n"/>
      <c r="C623" s="18" t="n"/>
      <c r="D623" s="18" t="n"/>
      <c r="E623" s="23"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c r="A624" s="18" t="n"/>
      <c r="B624" s="23" t="n"/>
      <c r="C624" s="18" t="n"/>
      <c r="D624" s="18" t="n"/>
      <c r="E624" s="23"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c r="A625" s="18" t="n"/>
      <c r="B625" s="23" t="n"/>
      <c r="C625" s="18" t="n"/>
      <c r="D625" s="18" t="n"/>
      <c r="E625" s="23"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c r="A626" s="18" t="n"/>
      <c r="B626" s="23" t="n"/>
      <c r="C626" s="18" t="n"/>
      <c r="D626" s="18" t="n"/>
      <c r="E626" s="23"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c r="A627" s="18" t="n"/>
      <c r="B627" s="23" t="n"/>
      <c r="C627" s="18" t="n"/>
      <c r="D627" s="18" t="n"/>
      <c r="E627" s="23"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c r="A628" s="18" t="n"/>
      <c r="B628" s="23" t="n"/>
      <c r="C628" s="18" t="n"/>
      <c r="D628" s="18" t="n"/>
      <c r="E628" s="23"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c r="A629" s="18" t="n"/>
      <c r="B629" s="23" t="n"/>
      <c r="C629" s="18" t="n"/>
      <c r="D629" s="18" t="n"/>
      <c r="E629" s="23"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c r="A630" s="18" t="n"/>
      <c r="B630" s="23" t="n"/>
      <c r="C630" s="18" t="n"/>
      <c r="D630" s="18" t="n"/>
      <c r="E630" s="23"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c r="A631" s="18" t="n"/>
      <c r="B631" s="23" t="n"/>
      <c r="C631" s="18" t="n"/>
      <c r="D631" s="18" t="n"/>
      <c r="E631" s="23"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c r="A632" s="18" t="n"/>
      <c r="B632" s="23" t="n"/>
      <c r="C632" s="18" t="n"/>
      <c r="D632" s="18" t="n"/>
      <c r="E632" s="23"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c r="A633" s="18" t="n"/>
      <c r="B633" s="23" t="n"/>
      <c r="C633" s="18" t="n"/>
      <c r="D633" s="18" t="n"/>
      <c r="E633" s="23"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c r="A634" s="18" t="n"/>
      <c r="B634" s="23" t="n"/>
      <c r="C634" s="18" t="n"/>
      <c r="D634" s="18" t="n"/>
      <c r="E634" s="23"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c r="A635" s="18" t="n"/>
      <c r="B635" s="23" t="n"/>
      <c r="C635" s="18" t="n"/>
      <c r="D635" s="18" t="n"/>
      <c r="E635" s="23"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c r="A636" s="18" t="n"/>
      <c r="B636" s="23" t="n"/>
      <c r="C636" s="18" t="n"/>
      <c r="D636" s="18" t="n"/>
      <c r="E636" s="23"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c r="A637" s="18" t="n"/>
      <c r="B637" s="23" t="n"/>
      <c r="C637" s="18" t="n"/>
      <c r="D637" s="18" t="n"/>
      <c r="E637" s="23"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c r="A638" s="18" t="n"/>
      <c r="B638" s="23" t="n"/>
      <c r="C638" s="18" t="n"/>
      <c r="D638" s="18" t="n"/>
      <c r="E638" s="23"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c r="A639" s="18" t="n"/>
      <c r="B639" s="23" t="n"/>
      <c r="C639" s="18" t="n"/>
      <c r="D639" s="18" t="n"/>
      <c r="E639" s="23"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c r="A640" s="18" t="n"/>
      <c r="B640" s="23" t="n"/>
      <c r="C640" s="18" t="n"/>
      <c r="D640" s="18" t="n"/>
      <c r="E640" s="23"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c r="A641" s="18" t="n"/>
      <c r="B641" s="23" t="n"/>
      <c r="C641" s="18" t="n"/>
      <c r="D641" s="18" t="n"/>
      <c r="E641" s="23"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c r="A642" s="18" t="n"/>
      <c r="B642" s="23" t="n"/>
      <c r="C642" s="18" t="n"/>
      <c r="D642" s="18" t="n"/>
      <c r="E642" s="23"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c r="A643" s="18" t="n"/>
      <c r="B643" s="23" t="n"/>
      <c r="C643" s="18" t="n"/>
      <c r="D643" s="18" t="n"/>
      <c r="E643" s="23"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c r="A644" s="18" t="n"/>
      <c r="B644" s="23" t="n"/>
      <c r="C644" s="18" t="n"/>
      <c r="D644" s="18" t="n"/>
      <c r="E644" s="23"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c r="A645" s="18" t="n"/>
      <c r="B645" s="23" t="n"/>
      <c r="C645" s="18" t="n"/>
      <c r="D645" s="18" t="n"/>
      <c r="E645" s="23"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c r="A646" s="18" t="n"/>
      <c r="B646" s="23" t="n"/>
      <c r="C646" s="18" t="n"/>
      <c r="D646" s="18" t="n"/>
      <c r="E646" s="23"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c r="A647" s="18" t="n"/>
      <c r="B647" s="23" t="n"/>
      <c r="C647" s="18" t="n"/>
      <c r="D647" s="18" t="n"/>
      <c r="E647" s="23"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c r="A648" s="18" t="n"/>
      <c r="B648" s="23" t="n"/>
      <c r="C648" s="18" t="n"/>
      <c r="D648" s="18" t="n"/>
      <c r="E648" s="23"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c r="A649" s="18" t="n"/>
      <c r="B649" s="23" t="n"/>
      <c r="C649" s="18" t="n"/>
      <c r="D649" s="18" t="n"/>
      <c r="E649" s="23"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c r="A650" s="18" t="n"/>
      <c r="B650" s="23" t="n"/>
      <c r="C650" s="18" t="n"/>
      <c r="D650" s="18" t="n"/>
      <c r="E650" s="23"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c r="A651" s="18" t="n"/>
      <c r="B651" s="23" t="n"/>
      <c r="C651" s="18" t="n"/>
      <c r="D651" s="18" t="n"/>
      <c r="E651" s="23"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c r="A652" s="18" t="n"/>
      <c r="B652" s="23" t="n"/>
      <c r="C652" s="18" t="n"/>
      <c r="D652" s="18" t="n"/>
      <c r="E652" s="23"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c r="A653" s="18" t="n"/>
      <c r="B653" s="23" t="n"/>
      <c r="C653" s="18" t="n"/>
      <c r="D653" s="18" t="n"/>
      <c r="E653" s="23"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c r="A654" s="18" t="n"/>
      <c r="B654" s="23" t="n"/>
      <c r="C654" s="18" t="n"/>
      <c r="D654" s="18" t="n"/>
      <c r="E654" s="23"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c r="A655" s="18" t="n"/>
      <c r="B655" s="23" t="n"/>
      <c r="C655" s="18" t="n"/>
      <c r="D655" s="18" t="n"/>
      <c r="E655" s="23"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c r="A656" s="18" t="n"/>
      <c r="B656" s="23" t="n"/>
      <c r="C656" s="18" t="n"/>
      <c r="D656" s="18" t="n"/>
      <c r="E656" s="23"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c r="A657" s="18" t="n"/>
      <c r="B657" s="23" t="n"/>
      <c r="C657" s="18" t="n"/>
      <c r="D657" s="18" t="n"/>
      <c r="E657" s="23"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c r="A658" s="18" t="n"/>
      <c r="B658" s="23" t="n"/>
      <c r="C658" s="18" t="n"/>
      <c r="D658" s="18" t="n"/>
      <c r="E658" s="23"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c r="A659" s="18" t="n"/>
      <c r="B659" s="23" t="n"/>
      <c r="C659" s="18" t="n"/>
      <c r="D659" s="18" t="n"/>
      <c r="E659" s="23"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c r="A660" s="18" t="n"/>
      <c r="B660" s="23" t="n"/>
      <c r="C660" s="18" t="n"/>
      <c r="D660" s="18" t="n"/>
      <c r="E660" s="23"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c r="A661" s="18" t="n"/>
      <c r="B661" s="23" t="n"/>
      <c r="C661" s="18" t="n"/>
      <c r="D661" s="18" t="n"/>
      <c r="E661" s="23"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c r="A662" s="18" t="n"/>
      <c r="B662" s="23" t="n"/>
      <c r="C662" s="18" t="n"/>
      <c r="D662" s="18" t="n"/>
      <c r="E662" s="23"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c r="A663" s="18" t="n"/>
      <c r="B663" s="23" t="n"/>
      <c r="C663" s="18" t="n"/>
      <c r="D663" s="18" t="n"/>
      <c r="E663" s="23"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c r="A664" s="18" t="n"/>
      <c r="B664" s="23" t="n"/>
      <c r="C664" s="18" t="n"/>
      <c r="D664" s="18" t="n"/>
      <c r="E664" s="23"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c r="A665" s="18" t="n"/>
      <c r="B665" s="23" t="n"/>
      <c r="C665" s="18" t="n"/>
      <c r="D665" s="18" t="n"/>
      <c r="E665" s="23"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c r="A666" s="18" t="n"/>
      <c r="B666" s="23" t="n"/>
      <c r="C666" s="18" t="n"/>
      <c r="D666" s="18" t="n"/>
      <c r="E666" s="23"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c r="A667" s="18" t="n"/>
      <c r="B667" s="23" t="n"/>
      <c r="C667" s="18" t="n"/>
      <c r="D667" s="18" t="n"/>
      <c r="E667" s="23"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c r="A668" s="18" t="n"/>
      <c r="B668" s="23" t="n"/>
      <c r="C668" s="18" t="n"/>
      <c r="D668" s="18" t="n"/>
      <c r="E668" s="23"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c r="A669" s="18" t="n"/>
      <c r="B669" s="23" t="n"/>
      <c r="C669" s="18" t="n"/>
      <c r="D669" s="18" t="n"/>
      <c r="E669" s="23"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c r="A670" s="18" t="n"/>
      <c r="B670" s="23" t="n"/>
      <c r="C670" s="18" t="n"/>
      <c r="D670" s="18" t="n"/>
      <c r="E670" s="23"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c r="A671" s="18" t="n"/>
      <c r="B671" s="23" t="n"/>
      <c r="C671" s="18" t="n"/>
      <c r="D671" s="18" t="n"/>
      <c r="E671" s="23"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c r="A672" s="18" t="n"/>
      <c r="B672" s="23" t="n"/>
      <c r="C672" s="18" t="n"/>
      <c r="D672" s="18" t="n"/>
      <c r="E672" s="23"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c r="A673" s="18" t="n"/>
      <c r="B673" s="23" t="n"/>
      <c r="C673" s="18" t="n"/>
      <c r="D673" s="18" t="n"/>
      <c r="E673" s="23"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c r="A674" s="18" t="n"/>
      <c r="B674" s="23" t="n"/>
      <c r="C674" s="18" t="n"/>
      <c r="D674" s="18" t="n"/>
      <c r="E674" s="23"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c r="A675" s="18" t="n"/>
      <c r="B675" s="23" t="n"/>
      <c r="C675" s="18" t="n"/>
      <c r="D675" s="18" t="n"/>
      <c r="E675" s="23"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c r="A676" s="18" t="n"/>
      <c r="B676" s="23" t="n"/>
      <c r="C676" s="18" t="n"/>
      <c r="D676" s="18" t="n"/>
      <c r="E676" s="23"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c r="A677" s="18" t="n"/>
      <c r="B677" s="23" t="n"/>
      <c r="C677" s="18" t="n"/>
      <c r="D677" s="18" t="n"/>
      <c r="E677" s="23"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c r="A678" s="18" t="n"/>
      <c r="B678" s="23" t="n"/>
      <c r="C678" s="18" t="n"/>
      <c r="D678" s="18" t="n"/>
      <c r="E678" s="23"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c r="A679" s="18" t="n"/>
      <c r="B679" s="23" t="n"/>
      <c r="C679" s="18" t="n"/>
      <c r="D679" s="18" t="n"/>
      <c r="E679" s="23"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c r="A680" s="18" t="n"/>
      <c r="B680" s="23" t="n"/>
      <c r="C680" s="18" t="n"/>
      <c r="D680" s="18" t="n"/>
      <c r="E680" s="23"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c r="A681" s="18" t="n"/>
      <c r="B681" s="23" t="n"/>
      <c r="C681" s="18" t="n"/>
      <c r="D681" s="18" t="n"/>
      <c r="E681" s="23"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c r="A682" s="18" t="n"/>
      <c r="B682" s="23" t="n"/>
      <c r="C682" s="18" t="n"/>
      <c r="D682" s="18" t="n"/>
      <c r="E682" s="23"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c r="A683" s="18" t="n"/>
      <c r="B683" s="23" t="n"/>
      <c r="C683" s="18" t="n"/>
      <c r="D683" s="18" t="n"/>
      <c r="E683" s="23"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c r="A684" s="18" t="n"/>
      <c r="B684" s="23" t="n"/>
      <c r="C684" s="18" t="n"/>
      <c r="D684" s="18" t="n"/>
      <c r="E684" s="23"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c r="A685" s="18" t="n"/>
      <c r="B685" s="23" t="n"/>
      <c r="C685" s="18" t="n"/>
      <c r="D685" s="18" t="n"/>
      <c r="E685" s="23"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c r="A686" s="18" t="n"/>
      <c r="B686" s="23" t="n"/>
      <c r="C686" s="18" t="n"/>
      <c r="D686" s="18" t="n"/>
      <c r="E686" s="23"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c r="A687" s="18" t="n"/>
      <c r="B687" s="23" t="n"/>
      <c r="C687" s="18" t="n"/>
      <c r="D687" s="18" t="n"/>
      <c r="E687" s="23"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c r="A688" s="18" t="n"/>
      <c r="B688" s="23" t="n"/>
      <c r="C688" s="18" t="n"/>
      <c r="D688" s="18" t="n"/>
      <c r="E688" s="23"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c r="A689" s="18" t="n"/>
      <c r="B689" s="23" t="n"/>
      <c r="C689" s="18" t="n"/>
      <c r="D689" s="18" t="n"/>
      <c r="E689" s="23"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c r="A690" s="18" t="n"/>
      <c r="B690" s="23" t="n"/>
      <c r="C690" s="18" t="n"/>
      <c r="D690" s="18" t="n"/>
      <c r="E690" s="23"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c r="A691" s="18" t="n"/>
      <c r="B691" s="23" t="n"/>
      <c r="C691" s="18" t="n"/>
      <c r="D691" s="18" t="n"/>
      <c r="E691" s="23"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c r="A692" s="18" t="n"/>
      <c r="B692" s="23" t="n"/>
      <c r="C692" s="18" t="n"/>
      <c r="D692" s="18" t="n"/>
      <c r="E692" s="23"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c r="A693" s="18" t="n"/>
      <c r="B693" s="23" t="n"/>
      <c r="C693" s="18" t="n"/>
      <c r="D693" s="18" t="n"/>
      <c r="E693" s="23"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c r="A694" s="18" t="n"/>
      <c r="B694" s="23" t="n"/>
      <c r="C694" s="18" t="n"/>
      <c r="D694" s="18" t="n"/>
      <c r="E694" s="23"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c r="A695" s="18" t="n"/>
      <c r="B695" s="23" t="n"/>
      <c r="C695" s="18" t="n"/>
      <c r="D695" s="18" t="n"/>
      <c r="E695" s="23"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c r="A696" s="18" t="n"/>
      <c r="B696" s="23" t="n"/>
      <c r="C696" s="18" t="n"/>
      <c r="D696" s="18" t="n"/>
      <c r="E696" s="23"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c r="A697" s="18" t="n"/>
      <c r="B697" s="23" t="n"/>
      <c r="C697" s="18" t="n"/>
      <c r="D697" s="18" t="n"/>
      <c r="E697" s="23"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c r="A698" s="18" t="n"/>
      <c r="B698" s="23" t="n"/>
      <c r="C698" s="18" t="n"/>
      <c r="D698" s="18" t="n"/>
      <c r="E698" s="23"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c r="A699" s="18" t="n"/>
      <c r="B699" s="23" t="n"/>
      <c r="C699" s="18" t="n"/>
      <c r="D699" s="18" t="n"/>
      <c r="E699" s="23"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c r="A700" s="18" t="n"/>
      <c r="B700" s="23" t="n"/>
      <c r="C700" s="18" t="n"/>
      <c r="D700" s="18" t="n"/>
      <c r="E700" s="23"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c r="A701" s="18" t="n"/>
      <c r="B701" s="23" t="n"/>
      <c r="C701" s="18" t="n"/>
      <c r="D701" s="18" t="n"/>
      <c r="E701" s="23"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c r="A702" s="18" t="n"/>
      <c r="B702" s="23" t="n"/>
      <c r="C702" s="18" t="n"/>
      <c r="D702" s="18" t="n"/>
      <c r="E702" s="23"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c r="A703" s="18" t="n"/>
      <c r="B703" s="23" t="n"/>
      <c r="C703" s="18" t="n"/>
      <c r="D703" s="18" t="n"/>
      <c r="E703" s="23"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c r="A704" s="18" t="n"/>
      <c r="B704" s="23" t="n"/>
      <c r="C704" s="18" t="n"/>
      <c r="D704" s="18" t="n"/>
      <c r="E704" s="23"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c r="A705" s="18" t="n"/>
      <c r="B705" s="23" t="n"/>
      <c r="C705" s="18" t="n"/>
      <c r="D705" s="18" t="n"/>
      <c r="E705" s="23"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c r="A706" s="18" t="n"/>
      <c r="B706" s="23" t="n"/>
      <c r="C706" s="18" t="n"/>
      <c r="D706" s="18" t="n"/>
      <c r="E706" s="23"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c r="A707" s="18" t="n"/>
      <c r="B707" s="23" t="n"/>
      <c r="C707" s="18" t="n"/>
      <c r="D707" s="18" t="n"/>
      <c r="E707" s="23"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c r="A708" s="18" t="n"/>
      <c r="B708" s="23" t="n"/>
      <c r="C708" s="18" t="n"/>
      <c r="D708" s="18" t="n"/>
      <c r="E708" s="23"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c r="A709" s="18" t="n"/>
      <c r="B709" s="23" t="n"/>
      <c r="C709" s="18" t="n"/>
      <c r="D709" s="18" t="n"/>
      <c r="E709" s="23"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c r="A710" s="18" t="n"/>
      <c r="B710" s="23" t="n"/>
      <c r="C710" s="18" t="n"/>
      <c r="D710" s="18" t="n"/>
      <c r="E710" s="23"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c r="A711" s="18" t="n"/>
      <c r="B711" s="23" t="n"/>
      <c r="C711" s="18" t="n"/>
      <c r="D711" s="18" t="n"/>
      <c r="E711" s="23"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c r="A712" s="18" t="n"/>
      <c r="B712" s="23" t="n"/>
      <c r="C712" s="18" t="n"/>
      <c r="D712" s="18" t="n"/>
      <c r="E712" s="23"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c r="A713" s="18" t="n"/>
      <c r="B713" s="23" t="n"/>
      <c r="C713" s="18" t="n"/>
      <c r="D713" s="18" t="n"/>
      <c r="E713" s="23"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c r="A714" s="18" t="n"/>
      <c r="B714" s="23" t="n"/>
      <c r="C714" s="18" t="n"/>
      <c r="D714" s="18" t="n"/>
      <c r="E714" s="23"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c r="A715" s="18" t="n"/>
      <c r="B715" s="23" t="n"/>
      <c r="C715" s="18" t="n"/>
      <c r="D715" s="18" t="n"/>
      <c r="E715" s="23"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c r="A716" s="18" t="n"/>
      <c r="B716" s="23" t="n"/>
      <c r="C716" s="18" t="n"/>
      <c r="D716" s="18" t="n"/>
      <c r="E716" s="23"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c r="A717" s="18" t="n"/>
      <c r="B717" s="23" t="n"/>
      <c r="C717" s="18" t="n"/>
      <c r="D717" s="18" t="n"/>
      <c r="E717" s="23"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c r="A718" s="18" t="n"/>
      <c r="B718" s="23" t="n"/>
      <c r="C718" s="18" t="n"/>
      <c r="D718" s="18" t="n"/>
      <c r="E718" s="23"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c r="A719" s="18" t="n"/>
      <c r="B719" s="23" t="n"/>
      <c r="C719" s="18" t="n"/>
      <c r="D719" s="18" t="n"/>
      <c r="E719" s="23"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c r="A720" s="18" t="n"/>
      <c r="B720" s="23" t="n"/>
      <c r="C720" s="18" t="n"/>
      <c r="D720" s="18" t="n"/>
      <c r="E720" s="23"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c r="A721" s="18" t="n"/>
      <c r="B721" s="23" t="n"/>
      <c r="C721" s="18" t="n"/>
      <c r="D721" s="18" t="n"/>
      <c r="E721" s="23"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c r="A722" s="18" t="n"/>
      <c r="B722" s="23" t="n"/>
      <c r="C722" s="18" t="n"/>
      <c r="D722" s="18" t="n"/>
      <c r="E722" s="23"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c r="A723" s="18" t="n"/>
      <c r="B723" s="23" t="n"/>
      <c r="C723" s="18" t="n"/>
      <c r="D723" s="18" t="n"/>
      <c r="E723" s="23"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c r="A724" s="18" t="n"/>
      <c r="B724" s="23" t="n"/>
      <c r="C724" s="18" t="n"/>
      <c r="D724" s="18" t="n"/>
      <c r="E724" s="23"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c r="A725" s="18" t="n"/>
      <c r="B725" s="23" t="n"/>
      <c r="C725" s="18" t="n"/>
      <c r="D725" s="18" t="n"/>
      <c r="E725" s="23"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c r="A726" s="18" t="n"/>
      <c r="B726" s="23" t="n"/>
      <c r="C726" s="18" t="n"/>
      <c r="D726" s="18" t="n"/>
      <c r="E726" s="23"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c r="A727" s="18" t="n"/>
      <c r="B727" s="23" t="n"/>
      <c r="C727" s="18" t="n"/>
      <c r="D727" s="18" t="n"/>
      <c r="E727" s="23"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c r="A728" s="18" t="n"/>
      <c r="B728" s="23" t="n"/>
      <c r="C728" s="18" t="n"/>
      <c r="D728" s="18" t="n"/>
      <c r="E728" s="23"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c r="A729" s="18" t="n"/>
      <c r="B729" s="23" t="n"/>
      <c r="C729" s="18" t="n"/>
      <c r="D729" s="18" t="n"/>
      <c r="E729" s="23"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c r="A730" s="18" t="n"/>
      <c r="B730" s="23" t="n"/>
      <c r="C730" s="18" t="n"/>
      <c r="D730" s="18" t="n"/>
      <c r="E730" s="23"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c r="A731" s="18" t="n"/>
      <c r="B731" s="23" t="n"/>
      <c r="C731" s="18" t="n"/>
      <c r="D731" s="18" t="n"/>
      <c r="E731" s="23"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c r="A732" s="18" t="n"/>
      <c r="B732" s="23" t="n"/>
      <c r="C732" s="18" t="n"/>
      <c r="D732" s="18" t="n"/>
      <c r="E732" s="23"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c r="A733" s="18" t="n"/>
      <c r="B733" s="23" t="n"/>
      <c r="C733" s="18" t="n"/>
      <c r="D733" s="18" t="n"/>
      <c r="E733" s="23"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c r="A734" s="18" t="n"/>
      <c r="B734" s="23" t="n"/>
      <c r="C734" s="18" t="n"/>
      <c r="D734" s="18" t="n"/>
      <c r="E734" s="23"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c r="A735" s="18" t="n"/>
      <c r="B735" s="23" t="n"/>
      <c r="C735" s="18" t="n"/>
      <c r="D735" s="18" t="n"/>
      <c r="E735" s="23"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c r="A736" s="18" t="n"/>
      <c r="B736" s="23" t="n"/>
      <c r="C736" s="18" t="n"/>
      <c r="D736" s="18" t="n"/>
      <c r="E736" s="23"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c r="A737" s="18" t="n"/>
      <c r="B737" s="23" t="n"/>
      <c r="C737" s="18" t="n"/>
      <c r="D737" s="18" t="n"/>
      <c r="E737" s="23"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c r="A738" s="18" t="n"/>
      <c r="B738" s="23" t="n"/>
      <c r="C738" s="18" t="n"/>
      <c r="D738" s="18" t="n"/>
      <c r="E738" s="23"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c r="A739" s="18" t="n"/>
      <c r="B739" s="23" t="n"/>
      <c r="C739" s="18" t="n"/>
      <c r="D739" s="18" t="n"/>
      <c r="E739" s="23"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c r="A740" s="18" t="n"/>
      <c r="B740" s="23" t="n"/>
      <c r="C740" s="18" t="n"/>
      <c r="D740" s="18" t="n"/>
      <c r="E740" s="23"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c r="A741" s="18" t="n"/>
      <c r="B741" s="23" t="n"/>
      <c r="C741" s="18" t="n"/>
      <c r="D741" s="18" t="n"/>
      <c r="E741" s="23"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c r="A742" s="18" t="n"/>
      <c r="B742" s="23" t="n"/>
      <c r="C742" s="18" t="n"/>
      <c r="D742" s="18" t="n"/>
      <c r="E742" s="23"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c r="A743" s="18" t="n"/>
      <c r="B743" s="23" t="n"/>
      <c r="C743" s="18" t="n"/>
      <c r="D743" s="18" t="n"/>
      <c r="E743" s="23"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c r="A744" s="18" t="n"/>
      <c r="B744" s="23" t="n"/>
      <c r="C744" s="18" t="n"/>
      <c r="D744" s="18" t="n"/>
      <c r="E744" s="23"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c r="A745" s="18" t="n"/>
      <c r="B745" s="23" t="n"/>
      <c r="C745" s="18" t="n"/>
      <c r="D745" s="18" t="n"/>
      <c r="E745" s="23"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c r="A746" s="18" t="n"/>
      <c r="B746" s="23" t="n"/>
      <c r="C746" s="18" t="n"/>
      <c r="D746" s="18" t="n"/>
      <c r="E746" s="23"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c r="A747" s="18" t="n"/>
      <c r="B747" s="23" t="n"/>
      <c r="C747" s="18" t="n"/>
      <c r="D747" s="18" t="n"/>
      <c r="E747" s="23"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c r="A748" s="18" t="n"/>
      <c r="B748" s="23" t="n"/>
      <c r="C748" s="18" t="n"/>
      <c r="D748" s="18" t="n"/>
      <c r="E748" s="23"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c r="A749" s="18" t="n"/>
      <c r="B749" s="23" t="n"/>
      <c r="C749" s="18" t="n"/>
      <c r="D749" s="18" t="n"/>
      <c r="E749" s="23"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c r="A750" s="18" t="n"/>
      <c r="B750" s="23" t="n"/>
      <c r="C750" s="18" t="n"/>
      <c r="D750" s="18" t="n"/>
      <c r="E750" s="23"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c r="A751" s="18" t="n"/>
      <c r="B751" s="23" t="n"/>
      <c r="C751" s="18" t="n"/>
      <c r="D751" s="18" t="n"/>
      <c r="E751" s="23"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c r="A752" s="18" t="n"/>
      <c r="B752" s="23" t="n"/>
      <c r="C752" s="18" t="n"/>
      <c r="D752" s="18" t="n"/>
      <c r="E752" s="23"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c r="A753" s="18" t="n"/>
      <c r="B753" s="23" t="n"/>
      <c r="C753" s="18" t="n"/>
      <c r="D753" s="18" t="n"/>
      <c r="E753" s="23"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c r="A754" s="18" t="n"/>
      <c r="B754" s="23" t="n"/>
      <c r="C754" s="18" t="n"/>
      <c r="D754" s="18" t="n"/>
      <c r="E754" s="23"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c r="A755" s="18" t="n"/>
      <c r="B755" s="23" t="n"/>
      <c r="C755" s="18" t="n"/>
      <c r="D755" s="18" t="n"/>
      <c r="E755" s="23"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c r="A756" s="18" t="n"/>
      <c r="B756" s="23" t="n"/>
      <c r="C756" s="18" t="n"/>
      <c r="D756" s="18" t="n"/>
      <c r="E756" s="23"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c r="A757" s="18" t="n"/>
      <c r="B757" s="23" t="n"/>
      <c r="C757" s="18" t="n"/>
      <c r="D757" s="18" t="n"/>
      <c r="E757" s="23"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c r="A758" s="18" t="n"/>
      <c r="B758" s="23" t="n"/>
      <c r="C758" s="18" t="n"/>
      <c r="D758" s="18" t="n"/>
      <c r="E758" s="23"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c r="A759" s="18" t="n"/>
      <c r="B759" s="23" t="n"/>
      <c r="C759" s="18" t="n"/>
      <c r="D759" s="18" t="n"/>
      <c r="E759" s="23"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c r="A760" s="18" t="n"/>
      <c r="B760" s="23" t="n"/>
      <c r="C760" s="18" t="n"/>
      <c r="D760" s="18" t="n"/>
      <c r="E760" s="23"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c r="A761" s="18" t="n"/>
      <c r="B761" s="23" t="n"/>
      <c r="C761" s="18" t="n"/>
      <c r="D761" s="18" t="n"/>
      <c r="E761" s="23"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c r="A762" s="18" t="n"/>
      <c r="B762" s="23" t="n"/>
      <c r="C762" s="18" t="n"/>
      <c r="D762" s="18" t="n"/>
      <c r="E762" s="23"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c r="A763" s="18" t="n"/>
      <c r="B763" s="23" t="n"/>
      <c r="C763" s="18" t="n"/>
      <c r="D763" s="18" t="n"/>
      <c r="E763" s="23"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c r="A764" s="18" t="n"/>
      <c r="B764" s="23" t="n"/>
      <c r="C764" s="18" t="n"/>
      <c r="D764" s="18" t="n"/>
      <c r="E764" s="23"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c r="A765" s="18" t="n"/>
      <c r="B765" s="23" t="n"/>
      <c r="C765" s="18" t="n"/>
      <c r="D765" s="18" t="n"/>
      <c r="E765" s="23"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c r="A766" s="18" t="n"/>
      <c r="B766" s="23" t="n"/>
      <c r="C766" s="18" t="n"/>
      <c r="D766" s="18" t="n"/>
      <c r="E766" s="23"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c r="A767" s="18" t="n"/>
      <c r="B767" s="23" t="n"/>
      <c r="C767" s="18" t="n"/>
      <c r="D767" s="18" t="n"/>
      <c r="E767" s="23"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c r="A768" s="18" t="n"/>
      <c r="B768" s="23" t="n"/>
      <c r="C768" s="18" t="n"/>
      <c r="D768" s="18" t="n"/>
      <c r="E768" s="23"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c r="A769" s="18" t="n"/>
      <c r="B769" s="23" t="n"/>
      <c r="C769" s="18" t="n"/>
      <c r="D769" s="18" t="n"/>
      <c r="E769" s="23"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c r="A770" s="18" t="n"/>
      <c r="B770" s="23" t="n"/>
      <c r="C770" s="18" t="n"/>
      <c r="D770" s="18" t="n"/>
      <c r="E770" s="23"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c r="A771" s="18" t="n"/>
      <c r="B771" s="23" t="n"/>
      <c r="C771" s="18" t="n"/>
      <c r="D771" s="18" t="n"/>
      <c r="E771" s="23"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c r="A772" s="18" t="n"/>
      <c r="B772" s="23" t="n"/>
      <c r="C772" s="18" t="n"/>
      <c r="D772" s="18" t="n"/>
      <c r="E772" s="23"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c r="A773" s="18" t="n"/>
      <c r="B773" s="23" t="n"/>
      <c r="C773" s="18" t="n"/>
      <c r="D773" s="18" t="n"/>
      <c r="E773" s="23"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c r="A774" s="18" t="n"/>
      <c r="B774" s="23" t="n"/>
      <c r="C774" s="18" t="n"/>
      <c r="D774" s="18" t="n"/>
      <c r="E774" s="23"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c r="A775" s="18" t="n"/>
      <c r="B775" s="23" t="n"/>
      <c r="C775" s="18" t="n"/>
      <c r="D775" s="18" t="n"/>
      <c r="E775" s="23"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c r="A776" s="18" t="n"/>
      <c r="B776" s="23" t="n"/>
      <c r="C776" s="18" t="n"/>
      <c r="D776" s="18" t="n"/>
      <c r="E776" s="23"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c r="A777" s="18" t="n"/>
      <c r="B777" s="23" t="n"/>
      <c r="C777" s="18" t="n"/>
      <c r="D777" s="18" t="n"/>
      <c r="E777" s="23"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c r="A778" s="18" t="n"/>
      <c r="B778" s="23" t="n"/>
      <c r="C778" s="18" t="n"/>
      <c r="D778" s="18" t="n"/>
      <c r="E778" s="23"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c r="A779" s="18" t="n"/>
      <c r="B779" s="23" t="n"/>
      <c r="C779" s="18" t="n"/>
      <c r="D779" s="18" t="n"/>
      <c r="E779" s="23"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c r="A780" s="18" t="n"/>
      <c r="B780" s="23" t="n"/>
      <c r="C780" s="18" t="n"/>
      <c r="D780" s="18" t="n"/>
      <c r="E780" s="23"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c r="A781" s="18" t="n"/>
      <c r="B781" s="23" t="n"/>
      <c r="C781" s="18" t="n"/>
      <c r="D781" s="18" t="n"/>
      <c r="E781" s="23"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c r="A782" s="18" t="n"/>
      <c r="B782" s="23" t="n"/>
      <c r="C782" s="18" t="n"/>
      <c r="D782" s="18" t="n"/>
      <c r="E782" s="23"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c r="A783" s="18" t="n"/>
      <c r="B783" s="23" t="n"/>
      <c r="C783" s="18" t="n"/>
      <c r="D783" s="18" t="n"/>
      <c r="E783" s="23"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c r="A784" s="18" t="n"/>
      <c r="B784" s="23" t="n"/>
      <c r="C784" s="18" t="n"/>
      <c r="D784" s="18" t="n"/>
      <c r="E784" s="23"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c r="A785" s="18" t="n"/>
      <c r="B785" s="23" t="n"/>
      <c r="C785" s="18" t="n"/>
      <c r="D785" s="18" t="n"/>
      <c r="E785" s="23"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c r="A786" s="18" t="n"/>
      <c r="B786" s="23" t="n"/>
      <c r="C786" s="18" t="n"/>
      <c r="D786" s="18" t="n"/>
      <c r="E786" s="23"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c r="A787" s="18" t="n"/>
      <c r="B787" s="23" t="n"/>
      <c r="C787" s="18" t="n"/>
      <c r="D787" s="18" t="n"/>
      <c r="E787" s="23"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c r="A788" s="18" t="n"/>
      <c r="B788" s="23" t="n"/>
      <c r="C788" s="18" t="n"/>
      <c r="D788" s="18" t="n"/>
      <c r="E788" s="23"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c r="A789" s="18" t="n"/>
      <c r="B789" s="23" t="n"/>
      <c r="C789" s="18" t="n"/>
      <c r="D789" s="18" t="n"/>
      <c r="E789" s="23"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c r="A790" s="18" t="n"/>
      <c r="B790" s="23" t="n"/>
      <c r="C790" s="18" t="n"/>
      <c r="D790" s="18" t="n"/>
      <c r="E790" s="23"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c r="A791" s="18" t="n"/>
      <c r="B791" s="23" t="n"/>
      <c r="C791" s="18" t="n"/>
      <c r="D791" s="18" t="n"/>
      <c r="E791" s="23"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c r="A792" s="18" t="n"/>
      <c r="B792" s="23" t="n"/>
      <c r="C792" s="18" t="n"/>
      <c r="D792" s="18" t="n"/>
      <c r="E792" s="23"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c r="A793" s="18" t="n"/>
      <c r="B793" s="23" t="n"/>
      <c r="C793" s="18" t="n"/>
      <c r="D793" s="18" t="n"/>
      <c r="E793" s="23"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c r="A794" s="18" t="n"/>
      <c r="B794" s="23" t="n"/>
      <c r="C794" s="18" t="n"/>
      <c r="D794" s="18" t="n"/>
      <c r="E794" s="23"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c r="A795" s="18" t="n"/>
      <c r="B795" s="23" t="n"/>
      <c r="C795" s="18" t="n"/>
      <c r="D795" s="18" t="n"/>
      <c r="E795" s="23"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c r="A796" s="18" t="n"/>
      <c r="B796" s="23" t="n"/>
      <c r="C796" s="18" t="n"/>
      <c r="D796" s="18" t="n"/>
      <c r="E796" s="23"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c r="A797" s="18" t="n"/>
      <c r="B797" s="23" t="n"/>
      <c r="C797" s="18" t="n"/>
      <c r="D797" s="18" t="n"/>
      <c r="E797" s="23"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c r="A798" s="18" t="n"/>
      <c r="B798" s="23" t="n"/>
      <c r="C798" s="18" t="n"/>
      <c r="D798" s="18" t="n"/>
      <c r="E798" s="23"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c r="A799" s="18" t="n"/>
      <c r="B799" s="23" t="n"/>
      <c r="C799" s="18" t="n"/>
      <c r="D799" s="18" t="n"/>
      <c r="E799" s="23"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c r="A800" s="18" t="n"/>
      <c r="B800" s="23" t="n"/>
      <c r="C800" s="18" t="n"/>
      <c r="D800" s="18" t="n"/>
      <c r="E800" s="23"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c r="A801" s="18" t="n"/>
      <c r="B801" s="23" t="n"/>
      <c r="C801" s="18" t="n"/>
      <c r="D801" s="18" t="n"/>
      <c r="E801" s="23"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c r="A802" s="18" t="n"/>
      <c r="B802" s="23" t="n"/>
      <c r="C802" s="18" t="n"/>
      <c r="D802" s="18" t="n"/>
      <c r="E802" s="23"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c r="A803" s="18" t="n"/>
      <c r="B803" s="23" t="n"/>
      <c r="C803" s="18" t="n"/>
      <c r="D803" s="18" t="n"/>
      <c r="E803" s="23"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c r="A804" s="18" t="n"/>
      <c r="B804" s="23" t="n"/>
      <c r="C804" s="18" t="n"/>
      <c r="D804" s="18" t="n"/>
      <c r="E804" s="23"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c r="A805" s="18" t="n"/>
      <c r="B805" s="23" t="n"/>
      <c r="C805" s="18" t="n"/>
      <c r="D805" s="18" t="n"/>
      <c r="E805" s="23"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c r="A806" s="18" t="n"/>
      <c r="B806" s="23" t="n"/>
      <c r="C806" s="18" t="n"/>
      <c r="D806" s="18" t="n"/>
      <c r="E806" s="23"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c r="A807" s="18" t="n"/>
      <c r="B807" s="23" t="n"/>
      <c r="C807" s="18" t="n"/>
      <c r="D807" s="18" t="n"/>
      <c r="E807" s="23"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c r="A808" s="18" t="n"/>
      <c r="B808" s="23" t="n"/>
      <c r="C808" s="18" t="n"/>
      <c r="D808" s="18" t="n"/>
      <c r="E808" s="23"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c r="A809" s="18" t="n"/>
      <c r="B809" s="23" t="n"/>
      <c r="C809" s="18" t="n"/>
      <c r="D809" s="18" t="n"/>
      <c r="E809" s="23"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c r="A810" s="18" t="n"/>
      <c r="B810" s="23" t="n"/>
      <c r="C810" s="18" t="n"/>
      <c r="D810" s="18" t="n"/>
      <c r="E810" s="23"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c r="A811" s="18" t="n"/>
      <c r="B811" s="23" t="n"/>
      <c r="C811" s="18" t="n"/>
      <c r="D811" s="18" t="n"/>
      <c r="E811" s="23"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c r="A812" s="18" t="n"/>
      <c r="B812" s="23" t="n"/>
      <c r="C812" s="18" t="n"/>
      <c r="D812" s="18" t="n"/>
      <c r="E812" s="23"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c r="A813" s="18" t="n"/>
      <c r="B813" s="23" t="n"/>
      <c r="C813" s="18" t="n"/>
      <c r="D813" s="18" t="n"/>
      <c r="E813" s="23"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c r="A814" s="18" t="n"/>
      <c r="B814" s="23" t="n"/>
      <c r="C814" s="18" t="n"/>
      <c r="D814" s="18" t="n"/>
      <c r="E814" s="23"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c r="A815" s="18" t="n"/>
      <c r="B815" s="23" t="n"/>
      <c r="C815" s="18" t="n"/>
      <c r="D815" s="18" t="n"/>
      <c r="E815" s="23"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c r="A816" s="18" t="n"/>
      <c r="B816" s="23" t="n"/>
      <c r="C816" s="18" t="n"/>
      <c r="D816" s="18" t="n"/>
      <c r="E816" s="23"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c r="A817" s="18" t="n"/>
      <c r="B817" s="23" t="n"/>
      <c r="C817" s="18" t="n"/>
      <c r="D817" s="18" t="n"/>
      <c r="E817" s="23"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c r="A818" s="18" t="n"/>
      <c r="B818" s="23" t="n"/>
      <c r="C818" s="18" t="n"/>
      <c r="D818" s="18" t="n"/>
      <c r="E818" s="23"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c r="A819" s="18" t="n"/>
      <c r="B819" s="23" t="n"/>
      <c r="C819" s="18" t="n"/>
      <c r="D819" s="18" t="n"/>
      <c r="E819" s="23"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c r="A820" s="18" t="n"/>
      <c r="B820" s="23" t="n"/>
      <c r="C820" s="18" t="n"/>
      <c r="D820" s="18" t="n"/>
      <c r="E820" s="23"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c r="A821" s="18" t="n"/>
      <c r="B821" s="23" t="n"/>
      <c r="C821" s="18" t="n"/>
      <c r="D821" s="18" t="n"/>
      <c r="E821" s="23"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c r="A822" s="18" t="n"/>
      <c r="B822" s="23" t="n"/>
      <c r="C822" s="18" t="n"/>
      <c r="D822" s="18" t="n"/>
      <c r="E822" s="23"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c r="A823" s="18" t="n"/>
      <c r="B823" s="23" t="n"/>
      <c r="C823" s="18" t="n"/>
      <c r="D823" s="18" t="n"/>
      <c r="E823" s="23"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c r="A824" s="18" t="n"/>
      <c r="B824" s="23" t="n"/>
      <c r="C824" s="18" t="n"/>
      <c r="D824" s="18" t="n"/>
      <c r="E824" s="23"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c r="A825" s="18" t="n"/>
      <c r="B825" s="23" t="n"/>
      <c r="C825" s="18" t="n"/>
      <c r="D825" s="18" t="n"/>
      <c r="E825" s="23"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c r="A826" s="18" t="n"/>
      <c r="B826" s="23" t="n"/>
      <c r="C826" s="18" t="n"/>
      <c r="D826" s="18" t="n"/>
      <c r="E826" s="23"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c r="A827" s="18" t="n"/>
      <c r="B827" s="23" t="n"/>
      <c r="C827" s="18" t="n"/>
      <c r="D827" s="18" t="n"/>
      <c r="E827" s="23"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c r="A828" s="18" t="n"/>
      <c r="B828" s="23" t="n"/>
      <c r="C828" s="18" t="n"/>
      <c r="D828" s="18" t="n"/>
      <c r="E828" s="23"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c r="A829" s="18" t="n"/>
      <c r="B829" s="23" t="n"/>
      <c r="C829" s="18" t="n"/>
      <c r="D829" s="18" t="n"/>
      <c r="E829" s="23"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c r="A830" s="18" t="n"/>
      <c r="B830" s="23" t="n"/>
      <c r="C830" s="18" t="n"/>
      <c r="D830" s="18" t="n"/>
      <c r="E830" s="23"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c r="A831" s="18" t="n"/>
      <c r="B831" s="23" t="n"/>
      <c r="C831" s="18" t="n"/>
      <c r="D831" s="18" t="n"/>
      <c r="E831" s="23"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c r="A832" s="18" t="n"/>
      <c r="B832" s="23" t="n"/>
      <c r="C832" s="18" t="n"/>
      <c r="D832" s="18" t="n"/>
      <c r="E832" s="23"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c r="A833" s="18" t="n"/>
      <c r="B833" s="23" t="n"/>
      <c r="C833" s="18" t="n"/>
      <c r="D833" s="18" t="n"/>
      <c r="E833" s="23"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c r="A834" s="18" t="n"/>
      <c r="B834" s="23" t="n"/>
      <c r="C834" s="18" t="n"/>
      <c r="D834" s="18" t="n"/>
      <c r="E834" s="23"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c r="A835" s="18" t="n"/>
      <c r="B835" s="23" t="n"/>
      <c r="C835" s="18" t="n"/>
      <c r="D835" s="18" t="n"/>
      <c r="E835" s="23"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c r="A836" s="18" t="n"/>
      <c r="B836" s="23" t="n"/>
      <c r="C836" s="18" t="n"/>
      <c r="D836" s="18" t="n"/>
      <c r="E836" s="23"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c r="A837" s="18" t="n"/>
      <c r="B837" s="23" t="n"/>
      <c r="C837" s="18" t="n"/>
      <c r="D837" s="18" t="n"/>
      <c r="E837" s="23"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c r="A838" s="18" t="n"/>
      <c r="B838" s="23" t="n"/>
      <c r="C838" s="18" t="n"/>
      <c r="D838" s="18" t="n"/>
      <c r="E838" s="23"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c r="A839" s="18" t="n"/>
      <c r="B839" s="23" t="n"/>
      <c r="C839" s="18" t="n"/>
      <c r="D839" s="18" t="n"/>
      <c r="E839" s="23"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c r="A840" s="18" t="n"/>
      <c r="B840" s="23" t="n"/>
      <c r="C840" s="18" t="n"/>
      <c r="D840" s="18" t="n"/>
      <c r="E840" s="23"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c r="A841" s="18" t="n"/>
      <c r="B841" s="23" t="n"/>
      <c r="C841" s="18" t="n"/>
      <c r="D841" s="18" t="n"/>
      <c r="E841" s="23"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c r="A842" s="18" t="n"/>
      <c r="B842" s="23" t="n"/>
      <c r="C842" s="18" t="n"/>
      <c r="D842" s="18" t="n"/>
      <c r="E842" s="23"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c r="A843" s="18" t="n"/>
      <c r="B843" s="23" t="n"/>
      <c r="C843" s="18" t="n"/>
      <c r="D843" s="18" t="n"/>
      <c r="E843" s="23"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c r="A844" s="18" t="n"/>
      <c r="B844" s="23" t="n"/>
      <c r="C844" s="18" t="n"/>
      <c r="D844" s="18" t="n"/>
      <c r="E844" s="23"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c r="A845" s="18" t="n"/>
      <c r="B845" s="23" t="n"/>
      <c r="C845" s="18" t="n"/>
      <c r="D845" s="18" t="n"/>
      <c r="E845" s="23"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c r="A846" s="18" t="n"/>
      <c r="B846" s="23" t="n"/>
      <c r="C846" s="18" t="n"/>
      <c r="D846" s="18" t="n"/>
      <c r="E846" s="23"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c r="A847" s="18" t="n"/>
      <c r="B847" s="23" t="n"/>
      <c r="C847" s="18" t="n"/>
      <c r="D847" s="18" t="n"/>
      <c r="E847" s="23"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c r="A848" s="18" t="n"/>
      <c r="B848" s="23" t="n"/>
      <c r="C848" s="18" t="n"/>
      <c r="D848" s="18" t="n"/>
      <c r="E848" s="23"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c r="A849" s="18" t="n"/>
      <c r="B849" s="23" t="n"/>
      <c r="C849" s="18" t="n"/>
      <c r="D849" s="18" t="n"/>
      <c r="E849" s="23"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c r="A850" s="18" t="n"/>
      <c r="B850" s="23" t="n"/>
      <c r="C850" s="18" t="n"/>
      <c r="D850" s="18" t="n"/>
      <c r="E850" s="23"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c r="A851" s="18" t="n"/>
      <c r="B851" s="23" t="n"/>
      <c r="C851" s="18" t="n"/>
      <c r="D851" s="18" t="n"/>
      <c r="E851" s="23"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c r="A852" s="18" t="n"/>
      <c r="B852" s="23" t="n"/>
      <c r="C852" s="18" t="n"/>
      <c r="D852" s="18" t="n"/>
      <c r="E852" s="23"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c r="A853" s="18" t="n"/>
      <c r="B853" s="23" t="n"/>
      <c r="C853" s="18" t="n"/>
      <c r="D853" s="18" t="n"/>
      <c r="E853" s="23"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c r="A854" s="18" t="n"/>
      <c r="B854" s="23" t="n"/>
      <c r="C854" s="18" t="n"/>
      <c r="D854" s="18" t="n"/>
      <c r="E854" s="23"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c r="A855" s="18" t="n"/>
      <c r="B855" s="23" t="n"/>
      <c r="C855" s="18" t="n"/>
      <c r="D855" s="18" t="n"/>
      <c r="E855" s="23"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c r="A856" s="18" t="n"/>
      <c r="B856" s="23" t="n"/>
      <c r="C856" s="18" t="n"/>
      <c r="D856" s="18" t="n"/>
      <c r="E856" s="23"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c r="A857" s="18" t="n"/>
      <c r="B857" s="23" t="n"/>
      <c r="C857" s="18" t="n"/>
      <c r="D857" s="18" t="n"/>
      <c r="E857" s="23"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c r="A858" s="18" t="n"/>
      <c r="B858" s="23" t="n"/>
      <c r="C858" s="18" t="n"/>
      <c r="D858" s="18" t="n"/>
      <c r="E858" s="23"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c r="A859" s="18" t="n"/>
      <c r="B859" s="23" t="n"/>
      <c r="C859" s="18" t="n"/>
      <c r="D859" s="18" t="n"/>
      <c r="E859" s="23"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c r="A860" s="18" t="n"/>
      <c r="B860" s="23" t="n"/>
      <c r="C860" s="18" t="n"/>
      <c r="D860" s="18" t="n"/>
      <c r="E860" s="23"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c r="A861" s="18" t="n"/>
      <c r="B861" s="23" t="n"/>
      <c r="C861" s="18" t="n"/>
      <c r="D861" s="18" t="n"/>
      <c r="E861" s="23"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c r="A862" s="18" t="n"/>
      <c r="B862" s="23" t="n"/>
      <c r="C862" s="18" t="n"/>
      <c r="D862" s="18" t="n"/>
      <c r="E862" s="23"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c r="A863" s="18" t="n"/>
      <c r="B863" s="23" t="n"/>
      <c r="C863" s="18" t="n"/>
      <c r="D863" s="18" t="n"/>
      <c r="E863" s="23"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c r="A864" s="18" t="n"/>
      <c r="B864" s="23" t="n"/>
      <c r="C864" s="18" t="n"/>
      <c r="D864" s="18" t="n"/>
      <c r="E864" s="23"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c r="A865" s="18" t="n"/>
      <c r="B865" s="23" t="n"/>
      <c r="C865" s="18" t="n"/>
      <c r="D865" s="18" t="n"/>
      <c r="E865" s="23"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c r="A866" s="18" t="n"/>
      <c r="B866" s="23" t="n"/>
      <c r="C866" s="18" t="n"/>
      <c r="D866" s="18" t="n"/>
      <c r="E866" s="23"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c r="A867" s="18" t="n"/>
      <c r="B867" s="23" t="n"/>
      <c r="C867" s="18" t="n"/>
      <c r="D867" s="18" t="n"/>
      <c r="E867" s="23"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c r="A868" s="18" t="n"/>
      <c r="B868" s="23" t="n"/>
      <c r="C868" s="18" t="n"/>
      <c r="D868" s="18" t="n"/>
      <c r="E868" s="23"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c r="A869" s="18" t="n"/>
      <c r="B869" s="23" t="n"/>
      <c r="C869" s="18" t="n"/>
      <c r="D869" s="18" t="n"/>
      <c r="E869" s="23"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c r="A870" s="18" t="n"/>
      <c r="B870" s="23" t="n"/>
      <c r="C870" s="18" t="n"/>
      <c r="D870" s="18" t="n"/>
      <c r="E870" s="23"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c r="A871" s="18" t="n"/>
      <c r="B871" s="23" t="n"/>
      <c r="C871" s="18" t="n"/>
      <c r="D871" s="18" t="n"/>
      <c r="E871" s="23"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c r="A872" s="18" t="n"/>
      <c r="B872" s="23" t="n"/>
      <c r="C872" s="18" t="n"/>
      <c r="D872" s="18" t="n"/>
      <c r="E872" s="23"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c r="A873" s="18" t="n"/>
      <c r="B873" s="23" t="n"/>
      <c r="C873" s="18" t="n"/>
      <c r="D873" s="18" t="n"/>
      <c r="E873" s="23"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c r="A874" s="18" t="n"/>
      <c r="B874" s="23" t="n"/>
      <c r="C874" s="18" t="n"/>
      <c r="D874" s="18" t="n"/>
      <c r="E874" s="23"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c r="A875" s="18" t="n"/>
      <c r="B875" s="23" t="n"/>
      <c r="C875" s="18" t="n"/>
      <c r="D875" s="18" t="n"/>
      <c r="E875" s="23"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c r="A876" s="18" t="n"/>
      <c r="B876" s="23" t="n"/>
      <c r="C876" s="18" t="n"/>
      <c r="D876" s="18" t="n"/>
      <c r="E876" s="23"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c r="A877" s="18" t="n"/>
      <c r="B877" s="23" t="n"/>
      <c r="C877" s="18" t="n"/>
      <c r="D877" s="18" t="n"/>
      <c r="E877" s="23"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c r="A878" s="18" t="n"/>
      <c r="B878" s="23" t="n"/>
      <c r="C878" s="18" t="n"/>
      <c r="D878" s="18" t="n"/>
      <c r="E878" s="23"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c r="A879" s="18" t="n"/>
      <c r="B879" s="23" t="n"/>
      <c r="C879" s="18" t="n"/>
      <c r="D879" s="18" t="n"/>
      <c r="E879" s="23"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c r="A880" s="18" t="n"/>
      <c r="B880" s="23" t="n"/>
      <c r="C880" s="18" t="n"/>
      <c r="D880" s="18" t="n"/>
      <c r="E880" s="23"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c r="A881" s="18" t="n"/>
      <c r="B881" s="23" t="n"/>
      <c r="C881" s="18" t="n"/>
      <c r="D881" s="18" t="n"/>
      <c r="E881" s="23"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c r="A882" s="18" t="n"/>
      <c r="B882" s="23" t="n"/>
      <c r="C882" s="18" t="n"/>
      <c r="D882" s="18" t="n"/>
      <c r="E882" s="23"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c r="A883" s="18" t="n"/>
      <c r="B883" s="23" t="n"/>
      <c r="C883" s="18" t="n"/>
      <c r="D883" s="18" t="n"/>
      <c r="E883" s="23"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c r="A884" s="18" t="n"/>
      <c r="B884" s="23" t="n"/>
      <c r="C884" s="18" t="n"/>
      <c r="D884" s="18" t="n"/>
      <c r="E884" s="23"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c r="A885" s="18" t="n"/>
      <c r="B885" s="23" t="n"/>
      <c r="C885" s="18" t="n"/>
      <c r="D885" s="18" t="n"/>
      <c r="E885" s="23"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c r="A886" s="18" t="n"/>
      <c r="B886" s="23" t="n"/>
      <c r="C886" s="18" t="n"/>
      <c r="D886" s="18" t="n"/>
      <c r="E886" s="23"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c r="A887" s="18" t="n"/>
      <c r="B887" s="23" t="n"/>
      <c r="C887" s="18" t="n"/>
      <c r="D887" s="18" t="n"/>
      <c r="E887" s="23"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c r="A888" s="18" t="n"/>
      <c r="B888" s="23" t="n"/>
      <c r="C888" s="18" t="n"/>
      <c r="D888" s="18" t="n"/>
      <c r="E888" s="23"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c r="A889" s="18" t="n"/>
      <c r="B889" s="23" t="n"/>
      <c r="C889" s="18" t="n"/>
      <c r="D889" s="18" t="n"/>
      <c r="E889" s="23"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c r="A890" s="18" t="n"/>
      <c r="B890" s="23" t="n"/>
      <c r="C890" s="18" t="n"/>
      <c r="D890" s="18" t="n"/>
      <c r="E890" s="23"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c r="A891" s="18" t="n"/>
      <c r="B891" s="23" t="n"/>
      <c r="C891" s="18" t="n"/>
      <c r="D891" s="18" t="n"/>
      <c r="E891" s="23"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c r="A892" s="18" t="n"/>
      <c r="B892" s="23" t="n"/>
      <c r="C892" s="18" t="n"/>
      <c r="D892" s="18" t="n"/>
      <c r="E892" s="23"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c r="A893" s="18" t="n"/>
      <c r="B893" s="23" t="n"/>
      <c r="C893" s="18" t="n"/>
      <c r="D893" s="18" t="n"/>
      <c r="E893" s="23"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c r="A894" s="18" t="n"/>
      <c r="B894" s="23" t="n"/>
      <c r="C894" s="18" t="n"/>
      <c r="D894" s="18" t="n"/>
      <c r="E894" s="23"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c r="A895" s="18" t="n"/>
      <c r="B895" s="23" t="n"/>
      <c r="C895" s="18" t="n"/>
      <c r="D895" s="18" t="n"/>
      <c r="E895" s="23"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c r="A896" s="18" t="n"/>
      <c r="B896" s="23" t="n"/>
      <c r="C896" s="18" t="n"/>
      <c r="D896" s="18" t="n"/>
      <c r="E896" s="23"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c r="A897" s="18" t="n"/>
      <c r="B897" s="23" t="n"/>
      <c r="C897" s="18" t="n"/>
      <c r="D897" s="18" t="n"/>
      <c r="E897" s="23"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c r="A898" s="18" t="n"/>
      <c r="B898" s="23" t="n"/>
      <c r="C898" s="18" t="n"/>
      <c r="D898" s="18" t="n"/>
      <c r="E898" s="23"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c r="A899" s="18" t="n"/>
      <c r="B899" s="23" t="n"/>
      <c r="C899" s="18" t="n"/>
      <c r="D899" s="18" t="n"/>
      <c r="E899" s="23"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c r="A900" s="18" t="n"/>
      <c r="B900" s="23" t="n"/>
      <c r="C900" s="18" t="n"/>
      <c r="D900" s="18" t="n"/>
      <c r="E900" s="23"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c r="A901" s="18" t="n"/>
      <c r="B901" s="23" t="n"/>
      <c r="C901" s="18" t="n"/>
      <c r="D901" s="18" t="n"/>
      <c r="E901" s="23"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c r="A902" s="18" t="n"/>
      <c r="B902" s="23" t="n"/>
      <c r="C902" s="18" t="n"/>
      <c r="D902" s="18" t="n"/>
      <c r="E902" s="23"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c r="A903" s="18" t="n"/>
      <c r="B903" s="23" t="n"/>
      <c r="C903" s="18" t="n"/>
      <c r="D903" s="18" t="n"/>
      <c r="E903" s="23"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c r="A904" s="18" t="n"/>
      <c r="B904" s="23" t="n"/>
      <c r="C904" s="18" t="n"/>
      <c r="D904" s="18" t="n"/>
      <c r="E904" s="23"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c r="A905" s="18" t="n"/>
      <c r="B905" s="23" t="n"/>
      <c r="C905" s="18" t="n"/>
      <c r="D905" s="18" t="n"/>
      <c r="E905" s="23"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c r="A906" s="18" t="n"/>
      <c r="B906" s="23" t="n"/>
      <c r="C906" s="18" t="n"/>
      <c r="D906" s="18" t="n"/>
      <c r="E906" s="23"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c r="A907" s="18" t="n"/>
      <c r="B907" s="23" t="n"/>
      <c r="C907" s="18" t="n"/>
      <c r="D907" s="18" t="n"/>
      <c r="E907" s="23"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c r="A908" s="18" t="n"/>
      <c r="B908" s="23" t="n"/>
      <c r="C908" s="18" t="n"/>
      <c r="D908" s="18" t="n"/>
      <c r="E908" s="23"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c r="A909" s="18" t="n"/>
      <c r="B909" s="23" t="n"/>
      <c r="C909" s="18" t="n"/>
      <c r="D909" s="18" t="n"/>
      <c r="E909" s="23"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c r="A910" s="18" t="n"/>
      <c r="B910" s="23" t="n"/>
      <c r="C910" s="18" t="n"/>
      <c r="D910" s="18" t="n"/>
      <c r="E910" s="23"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c r="A911" s="18" t="n"/>
      <c r="B911" s="23" t="n"/>
      <c r="C911" s="18" t="n"/>
      <c r="D911" s="18" t="n"/>
      <c r="E911" s="23"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c r="A912" s="18" t="n"/>
      <c r="B912" s="23" t="n"/>
      <c r="C912" s="18" t="n"/>
      <c r="D912" s="18" t="n"/>
      <c r="E912" s="23"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c r="A913" s="18" t="n"/>
      <c r="B913" s="23" t="n"/>
      <c r="C913" s="18" t="n"/>
      <c r="D913" s="18" t="n"/>
      <c r="E913" s="23"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c r="A914" s="18" t="n"/>
      <c r="B914" s="23" t="n"/>
      <c r="C914" s="18" t="n"/>
      <c r="D914" s="18" t="n"/>
      <c r="E914" s="23"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c r="A915" s="18" t="n"/>
      <c r="B915" s="23" t="n"/>
      <c r="C915" s="18" t="n"/>
      <c r="D915" s="18" t="n"/>
      <c r="E915" s="23"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c r="A916" s="18" t="n"/>
      <c r="B916" s="23" t="n"/>
      <c r="C916" s="18" t="n"/>
      <c r="D916" s="18" t="n"/>
      <c r="E916" s="23"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c r="A917" s="18" t="n"/>
      <c r="B917" s="23" t="n"/>
      <c r="C917" s="18" t="n"/>
      <c r="D917" s="18" t="n"/>
      <c r="E917" s="23"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c r="A918" s="18" t="n"/>
      <c r="B918" s="23" t="n"/>
      <c r="C918" s="18" t="n"/>
      <c r="D918" s="18" t="n"/>
      <c r="E918" s="23"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c r="A919" s="18" t="n"/>
      <c r="B919" s="23" t="n"/>
      <c r="C919" s="18" t="n"/>
      <c r="D919" s="18" t="n"/>
      <c r="E919" s="23"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c r="A920" s="18" t="n"/>
      <c r="B920" s="23" t="n"/>
      <c r="C920" s="18" t="n"/>
      <c r="D920" s="18" t="n"/>
      <c r="E920" s="23"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c r="A921" s="18" t="n"/>
      <c r="B921" s="23" t="n"/>
      <c r="C921" s="18" t="n"/>
      <c r="D921" s="18" t="n"/>
      <c r="E921" s="23"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c r="A922" s="18" t="n"/>
      <c r="B922" s="23" t="n"/>
      <c r="C922" s="18" t="n"/>
      <c r="D922" s="18" t="n"/>
      <c r="E922" s="23"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c r="A923" s="18" t="n"/>
      <c r="B923" s="23" t="n"/>
      <c r="C923" s="18" t="n"/>
      <c r="D923" s="18" t="n"/>
      <c r="E923" s="23"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c r="A924" s="18" t="n"/>
      <c r="B924" s="23" t="n"/>
      <c r="C924" s="18" t="n"/>
      <c r="D924" s="18" t="n"/>
      <c r="E924" s="23"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c r="A925" s="18" t="n"/>
      <c r="B925" s="23" t="n"/>
      <c r="C925" s="18" t="n"/>
      <c r="D925" s="18" t="n"/>
      <c r="E925" s="23"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c r="A926" s="18" t="n"/>
      <c r="B926" s="23" t="n"/>
      <c r="C926" s="18" t="n"/>
      <c r="D926" s="18" t="n"/>
      <c r="E926" s="23"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c r="A927" s="18" t="n"/>
      <c r="B927" s="23" t="n"/>
      <c r="C927" s="18" t="n"/>
      <c r="D927" s="18" t="n"/>
      <c r="E927" s="23"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c r="A928" s="18" t="n"/>
      <c r="B928" s="23" t="n"/>
      <c r="C928" s="18" t="n"/>
      <c r="D928" s="18" t="n"/>
      <c r="E928" s="23"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c r="A929" s="18" t="n"/>
      <c r="B929" s="23" t="n"/>
      <c r="C929" s="18" t="n"/>
      <c r="D929" s="18" t="n"/>
      <c r="E929" s="23"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c r="A930" s="18" t="n"/>
      <c r="B930" s="23" t="n"/>
      <c r="C930" s="18" t="n"/>
      <c r="D930" s="18" t="n"/>
      <c r="E930" s="23"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c r="A931" s="18" t="n"/>
      <c r="B931" s="23" t="n"/>
      <c r="C931" s="18" t="n"/>
      <c r="D931" s="18" t="n"/>
      <c r="E931" s="23"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c r="A932" s="18" t="n"/>
      <c r="B932" s="23" t="n"/>
      <c r="C932" s="18" t="n"/>
      <c r="D932" s="18" t="n"/>
      <c r="E932" s="23"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c r="A933" s="18" t="n"/>
      <c r="B933" s="23" t="n"/>
      <c r="C933" s="18" t="n"/>
      <c r="D933" s="18" t="n"/>
      <c r="E933" s="23"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c r="A934" s="18" t="n"/>
      <c r="B934" s="23" t="n"/>
      <c r="C934" s="18" t="n"/>
      <c r="D934" s="18" t="n"/>
      <c r="E934" s="23"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c r="A935" s="18" t="n"/>
      <c r="B935" s="23" t="n"/>
      <c r="C935" s="18" t="n"/>
      <c r="D935" s="18" t="n"/>
      <c r="E935" s="23"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c r="A936" s="18" t="n"/>
      <c r="B936" s="23" t="n"/>
      <c r="C936" s="18" t="n"/>
      <c r="D936" s="18" t="n"/>
      <c r="E936" s="23"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c r="A937" s="18" t="n"/>
      <c r="B937" s="23" t="n"/>
      <c r="C937" s="18" t="n"/>
      <c r="D937" s="18" t="n"/>
      <c r="E937" s="23"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c r="A938" s="18" t="n"/>
      <c r="B938" s="23" t="n"/>
      <c r="C938" s="18" t="n"/>
      <c r="D938" s="18" t="n"/>
      <c r="E938" s="23"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c r="A939" s="18" t="n"/>
      <c r="B939" s="23" t="n"/>
      <c r="C939" s="18" t="n"/>
      <c r="D939" s="18" t="n"/>
      <c r="E939" s="23"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c r="A940" s="18" t="n"/>
      <c r="B940" s="23" t="n"/>
      <c r="C940" s="18" t="n"/>
      <c r="D940" s="18" t="n"/>
      <c r="E940" s="23"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c r="A941" s="18" t="n"/>
      <c r="B941" s="23" t="n"/>
      <c r="C941" s="18" t="n"/>
      <c r="D941" s="18" t="n"/>
      <c r="E941" s="23"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c r="A942" s="18" t="n"/>
      <c r="B942" s="23" t="n"/>
      <c r="C942" s="18" t="n"/>
      <c r="D942" s="18" t="n"/>
      <c r="E942" s="23"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c r="A943" s="18" t="n"/>
      <c r="B943" s="23" t="n"/>
      <c r="C943" s="18" t="n"/>
      <c r="D943" s="18" t="n"/>
      <c r="E943" s="23"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c r="A944" s="18" t="n"/>
      <c r="B944" s="23" t="n"/>
      <c r="C944" s="18" t="n"/>
      <c r="D944" s="18" t="n"/>
      <c r="E944" s="23"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c r="A945" s="18" t="n"/>
      <c r="B945" s="23" t="n"/>
      <c r="C945" s="18" t="n"/>
      <c r="D945" s="18" t="n"/>
      <c r="E945" s="23"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c r="A946" s="18" t="n"/>
      <c r="B946" s="23" t="n"/>
      <c r="C946" s="18" t="n"/>
      <c r="D946" s="18" t="n"/>
      <c r="E946" s="23"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c r="A947" s="18" t="n"/>
      <c r="B947" s="23" t="n"/>
      <c r="C947" s="18" t="n"/>
      <c r="D947" s="18" t="n"/>
      <c r="E947" s="23"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c r="A948" s="18" t="n"/>
      <c r="B948" s="23" t="n"/>
      <c r="C948" s="18" t="n"/>
      <c r="D948" s="18" t="n"/>
      <c r="E948" s="23"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c r="A949" s="18" t="n"/>
      <c r="B949" s="23" t="n"/>
      <c r="C949" s="18" t="n"/>
      <c r="D949" s="18" t="n"/>
      <c r="E949" s="23"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c r="A950" s="18" t="n"/>
      <c r="B950" s="23" t="n"/>
      <c r="C950" s="18" t="n"/>
      <c r="D950" s="18" t="n"/>
      <c r="E950" s="23"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c r="A951" s="18" t="n"/>
      <c r="B951" s="23" t="n"/>
      <c r="C951" s="18" t="n"/>
      <c r="D951" s="18" t="n"/>
      <c r="E951" s="23"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c r="A952" s="18" t="n"/>
      <c r="B952" s="23" t="n"/>
      <c r="C952" s="18" t="n"/>
      <c r="D952" s="18" t="n"/>
      <c r="E952" s="23"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c r="A953" s="18" t="n"/>
      <c r="B953" s="23" t="n"/>
      <c r="C953" s="18" t="n"/>
      <c r="D953" s="18" t="n"/>
      <c r="E953" s="23"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c r="A954" s="18" t="n"/>
      <c r="B954" s="23" t="n"/>
      <c r="C954" s="18" t="n"/>
      <c r="D954" s="18" t="n"/>
      <c r="E954" s="23"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c r="A955" s="18" t="n"/>
      <c r="B955" s="23" t="n"/>
      <c r="C955" s="18" t="n"/>
      <c r="D955" s="18" t="n"/>
      <c r="E955" s="23"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c r="A956" s="18" t="n"/>
      <c r="B956" s="23" t="n"/>
      <c r="C956" s="18" t="n"/>
      <c r="D956" s="18" t="n"/>
      <c r="E956" s="23"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c r="A957" s="18" t="n"/>
      <c r="B957" s="23" t="n"/>
      <c r="C957" s="18" t="n"/>
      <c r="D957" s="18" t="n"/>
      <c r="E957" s="23"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c r="A958" s="18" t="n"/>
      <c r="B958" s="23" t="n"/>
      <c r="C958" s="18" t="n"/>
      <c r="D958" s="18" t="n"/>
      <c r="E958" s="23"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c r="A959" s="18" t="n"/>
      <c r="B959" s="23" t="n"/>
      <c r="C959" s="18" t="n"/>
      <c r="D959" s="18" t="n"/>
      <c r="E959" s="23"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c r="A960" s="18" t="n"/>
      <c r="B960" s="23" t="n"/>
      <c r="C960" s="18" t="n"/>
      <c r="D960" s="18" t="n"/>
      <c r="E960" s="23"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c r="A961" s="18" t="n"/>
      <c r="B961" s="23" t="n"/>
      <c r="C961" s="18" t="n"/>
      <c r="D961" s="18" t="n"/>
      <c r="E961" s="23"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c r="A962" s="18" t="n"/>
      <c r="B962" s="23" t="n"/>
      <c r="C962" s="18" t="n"/>
      <c r="D962" s="18" t="n"/>
      <c r="E962" s="23"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c r="A963" s="18" t="n"/>
      <c r="B963" s="23" t="n"/>
      <c r="C963" s="18" t="n"/>
      <c r="D963" s="18" t="n"/>
      <c r="E963" s="23"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c r="A964" s="18" t="n"/>
      <c r="B964" s="23" t="n"/>
      <c r="C964" s="18" t="n"/>
      <c r="D964" s="18" t="n"/>
      <c r="E964" s="23"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c r="A965" s="18" t="n"/>
      <c r="B965" s="23" t="n"/>
      <c r="C965" s="18" t="n"/>
      <c r="D965" s="18" t="n"/>
      <c r="E965" s="23"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c r="A966" s="18" t="n"/>
      <c r="B966" s="23" t="n"/>
      <c r="C966" s="18" t="n"/>
      <c r="D966" s="18" t="n"/>
      <c r="E966" s="23"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c r="A967" s="18" t="n"/>
      <c r="B967" s="23" t="n"/>
      <c r="C967" s="18" t="n"/>
      <c r="D967" s="18" t="n"/>
      <c r="E967" s="23"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c r="A968" s="18" t="n"/>
      <c r="B968" s="23" t="n"/>
      <c r="C968" s="18" t="n"/>
      <c r="D968" s="18" t="n"/>
      <c r="E968" s="23"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c r="A969" s="18" t="n"/>
      <c r="B969" s="23" t="n"/>
      <c r="C969" s="18" t="n"/>
      <c r="D969" s="18" t="n"/>
      <c r="E969" s="23"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c r="A970" s="18" t="n"/>
      <c r="B970" s="23" t="n"/>
      <c r="C970" s="18" t="n"/>
      <c r="D970" s="18" t="n"/>
      <c r="E970" s="23"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c r="A971" s="18" t="n"/>
      <c r="B971" s="23" t="n"/>
      <c r="C971" s="18" t="n"/>
      <c r="D971" s="18" t="n"/>
      <c r="E971" s="23"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c r="A972" s="18" t="n"/>
      <c r="B972" s="23" t="n"/>
      <c r="C972" s="18" t="n"/>
      <c r="D972" s="18" t="n"/>
      <c r="E972" s="23"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c r="A973" s="18" t="n"/>
      <c r="B973" s="23" t="n"/>
      <c r="C973" s="18" t="n"/>
      <c r="D973" s="18" t="n"/>
      <c r="E973" s="23"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c r="A974" s="18" t="n"/>
      <c r="B974" s="23" t="n"/>
      <c r="C974" s="18" t="n"/>
      <c r="D974" s="18" t="n"/>
      <c r="E974" s="23"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c r="A975" s="18" t="n"/>
      <c r="B975" s="23" t="n"/>
      <c r="C975" s="18" t="n"/>
      <c r="D975" s="18" t="n"/>
      <c r="E975" s="23"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c r="A976" s="18" t="n"/>
      <c r="B976" s="23" t="n"/>
      <c r="C976" s="18" t="n"/>
      <c r="D976" s="18" t="n"/>
      <c r="E976" s="23"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c r="A977" s="18" t="n"/>
      <c r="B977" s="23" t="n"/>
      <c r="C977" s="18" t="n"/>
      <c r="D977" s="18" t="n"/>
      <c r="E977" s="23"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c r="A978" s="18" t="n"/>
      <c r="B978" s="23" t="n"/>
      <c r="C978" s="18" t="n"/>
      <c r="D978" s="18" t="n"/>
      <c r="E978" s="23"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c r="A979" s="18" t="n"/>
      <c r="B979" s="23" t="n"/>
      <c r="C979" s="18" t="n"/>
      <c r="D979" s="18" t="n"/>
      <c r="E979" s="23"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c r="A980" s="18" t="n"/>
      <c r="B980" s="23" t="n"/>
      <c r="C980" s="18" t="n"/>
      <c r="D980" s="18" t="n"/>
      <c r="E980" s="23"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c r="A981" s="18" t="n"/>
      <c r="B981" s="23" t="n"/>
      <c r="C981" s="18" t="n"/>
      <c r="D981" s="18" t="n"/>
      <c r="E981" s="23"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c r="A982" s="18" t="n"/>
      <c r="B982" s="23" t="n"/>
      <c r="C982" s="18" t="n"/>
      <c r="D982" s="18" t="n"/>
      <c r="E982" s="23"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c r="A983" s="18" t="n"/>
      <c r="B983" s="23" t="n"/>
      <c r="C983" s="18" t="n"/>
      <c r="D983" s="18" t="n"/>
      <c r="E983" s="23"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c r="A984" s="18" t="n"/>
      <c r="B984" s="23" t="n"/>
      <c r="C984" s="18" t="n"/>
      <c r="D984" s="18" t="n"/>
      <c r="E984" s="23"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c r="A985" s="18" t="n"/>
      <c r="B985" s="23" t="n"/>
      <c r="C985" s="18" t="n"/>
      <c r="D985" s="18" t="n"/>
      <c r="E985" s="23"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c r="A986" s="18" t="n"/>
      <c r="B986" s="23" t="n"/>
      <c r="C986" s="18" t="n"/>
      <c r="D986" s="18" t="n"/>
      <c r="E986" s="23"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c r="A987" s="18" t="n"/>
      <c r="B987" s="23" t="n"/>
      <c r="C987" s="18" t="n"/>
      <c r="D987" s="18" t="n"/>
      <c r="E987" s="23"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c r="A988" s="18" t="n"/>
      <c r="B988" s="23" t="n"/>
      <c r="C988" s="18" t="n"/>
      <c r="D988" s="18" t="n"/>
      <c r="E988" s="23"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c r="A989" s="18" t="n"/>
      <c r="B989" s="23" t="n"/>
      <c r="C989" s="18" t="n"/>
      <c r="D989" s="18" t="n"/>
      <c r="E989" s="23"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c r="A990" s="18" t="n"/>
      <c r="B990" s="23" t="n"/>
      <c r="C990" s="18" t="n"/>
      <c r="D990" s="18" t="n"/>
      <c r="E990" s="23"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c r="A991" s="18" t="n"/>
      <c r="B991" s="23" t="n"/>
      <c r="C991" s="18" t="n"/>
      <c r="D991" s="18" t="n"/>
      <c r="E991" s="23"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c r="A992" s="18" t="n"/>
      <c r="B992" s="23" t="n"/>
      <c r="C992" s="18" t="n"/>
      <c r="D992" s="18" t="n"/>
      <c r="E992" s="23"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c r="A993" s="18" t="n"/>
      <c r="B993" s="23" t="n"/>
      <c r="C993" s="18" t="n"/>
      <c r="D993" s="18" t="n"/>
      <c r="E993" s="23"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c r="A994" s="18" t="n"/>
      <c r="B994" s="23" t="n"/>
      <c r="C994" s="18" t="n"/>
      <c r="D994" s="18" t="n"/>
      <c r="E994" s="23"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c r="A995" s="18" t="n"/>
      <c r="B995" s="23" t="n"/>
      <c r="C995" s="18" t="n"/>
      <c r="D995" s="18" t="n"/>
      <c r="E995" s="23"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c r="A996" s="18" t="n"/>
      <c r="B996" s="23" t="n"/>
      <c r="C996" s="18" t="n"/>
      <c r="D996" s="18" t="n"/>
      <c r="E996" s="23"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c r="A997" s="18" t="n"/>
      <c r="B997" s="23" t="n"/>
      <c r="C997" s="18" t="n"/>
      <c r="D997" s="18" t="n"/>
      <c r="E997" s="23"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c r="A998" s="18" t="n"/>
      <c r="B998" s="23" t="n"/>
      <c r="C998" s="18" t="n"/>
      <c r="D998" s="18" t="n"/>
      <c r="E998" s="23"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c r="A999" s="18" t="n"/>
      <c r="B999" s="23" t="n"/>
      <c r="C999" s="18" t="n"/>
      <c r="D999" s="18" t="n"/>
      <c r="E999" s="23"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row r="1000">
      <c r="A1000" s="18" t="n"/>
      <c r="B1000" s="23" t="n"/>
      <c r="C1000" s="18" t="n"/>
      <c r="D1000" s="18" t="n"/>
      <c r="E1000" s="23" t="n"/>
      <c r="F1000" s="18"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Dashboard Page</t>
        </is>
      </c>
    </row>
    <row r="2" ht="18" customHeight="1" s="30">
      <c r="A2" s="25" t="inlineStr">
        <is>
          <t>Complete repository commits targeting features and files on the Dashboard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ColWidth="12.63" defaultRowHeight="15.75" customHeight="1"/>
  <cols>
    <col width="13.13" customWidth="1" style="30" min="1" max="1"/>
    <col width="26.25" customWidth="1" style="30" min="2" max="2"/>
    <col width="52.38" customWidth="1" style="30" min="3" max="3"/>
    <col width="43.75" customWidth="1" style="30" min="4" max="4"/>
    <col width="13.13" customWidth="1" style="30" min="5" max="5"/>
    <col width="7.63" customWidth="1" style="30" min="6" max="26"/>
  </cols>
  <sheetData>
    <row r="1" ht="24.75" customHeight="1" s="30">
      <c r="A1" s="24" t="inlineStr">
        <is>
          <t>Committed Code Changes — Ingestion Page</t>
        </is>
      </c>
    </row>
    <row r="2" ht="18" customHeight="1" s="30">
      <c r="A2" s="25" t="inlineStr">
        <is>
          <t>Complete repository commits targeting features and files on the Ingestion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72eec89</t>
        </is>
      </c>
      <c r="B5" s="26" t="inlineStr">
        <is>
          <t>Fri Aug 14 02:12:17 2026 +0530</t>
        </is>
      </c>
      <c r="C5" s="27" t="inlineStr">
        <is>
          <t>feat: set manual upload limit to unlimited by skipping size validation when max_size_bytes is 0 or None</t>
        </is>
      </c>
      <c r="D5" s="27" t="inlineStr">
        <is>
          <t>backend/app/api/v1/ingestion.py
backend/app/services/upload_security.py
frontend/src/pages/Ingestion.tsx</t>
        </is>
      </c>
      <c r="E5" s="26" t="inlineStr">
        <is>
          <t>Completed</t>
        </is>
      </c>
    </row>
    <row r="6" ht="25.5" customHeight="1" s="30">
      <c r="A6" s="28" t="inlineStr">
        <is>
          <t>d794a0e</t>
        </is>
      </c>
      <c r="B6" s="28" t="inlineStr">
        <is>
          <t>Fri Aug 14 05:43:14 2026 +0530</t>
        </is>
      </c>
      <c r="C6" s="29" t="inlineStr">
        <is>
          <t>feat: persist daily claude API costs locally in database and backfill historical data automatically</t>
        </is>
      </c>
      <c r="D6" s="29" t="inlineStr">
        <is>
          <t>backend/alembic/versions/435a99988f2b_create_claude_daily_costs_table.py
backend/app/api/v1/ingestion.py
backend/app/models/__init__.py
backend/app/models/claude_cost.py
backend/app/services/anthropic_admin.py</t>
        </is>
      </c>
      <c r="E6" s="28" t="inlineStr">
        <is>
          <t>Completed</t>
        </is>
      </c>
    </row>
    <row r="7" ht="25.5" customHeight="1" s="30">
      <c r="A7" s="26" t="inlineStr">
        <is>
          <t>527ef45</t>
        </is>
      </c>
      <c r="B7" s="26" t="inlineStr">
        <is>
          <t>Fri Aug 14 06:20:37 2026 +0530</t>
        </is>
      </c>
      <c r="C7" s="27" t="inlineStr">
        <is>
          <t>fix: resolve local select variable shadowing causing UnboundLocalError in statistics API</t>
        </is>
      </c>
      <c r="D7" s="27" t="inlineStr">
        <is>
          <t>backend/app/api/v1/ingestion.py</t>
        </is>
      </c>
      <c r="E7" s="26" t="inlineStr">
        <is>
          <t>Completed</t>
        </is>
      </c>
    </row>
    <row r="8" ht="25.5" customHeight="1" s="30">
      <c r="A8" s="28" t="inlineStr">
        <is>
          <t>6f29bd7</t>
        </is>
      </c>
      <c r="B8" s="28" t="inlineStr">
        <is>
          <t>Fri Aug 28 01:42:04 2026 +0530</t>
        </is>
      </c>
      <c r="C8" s="29" t="inlineStr">
        <is>
          <t>fix: update page status resolution to respect user customized page references</t>
        </is>
      </c>
      <c r="D8" s="29" t="inlineStr">
        <is>
          <t>backend/app/api/v1/ingestion.py</t>
        </is>
      </c>
      <c r="E8" s="28" t="inlineStr">
        <is>
          <t>Completed</t>
        </is>
      </c>
    </row>
    <row r="9" ht="25.5" customHeight="1" s="30">
      <c r="A9" s="26" t="inlineStr">
        <is>
          <t>c729c94</t>
        </is>
      </c>
      <c r="B9" s="26" t="inlineStr">
        <is>
          <t>Fri Aug 28 01:46:06 2026 +0530</t>
        </is>
      </c>
      <c r="C9" s="27" t="inlineStr">
        <is>
          <t>feat: show recent SharePoint ingestion sessions and automatically switch tab on active session restore</t>
        </is>
      </c>
      <c r="D9" s="27" t="inlineStr">
        <is>
          <t>frontend/src/pages/Ingestion.tsx</t>
        </is>
      </c>
      <c r="E9" s="26" t="inlineStr">
        <is>
          <t>Completed</t>
        </is>
      </c>
    </row>
    <row r="10" ht="25.5" customHeight="1" s="30">
      <c r="A10" s="28" t="inlineStr">
        <is>
          <t>c4be931</t>
        </is>
      </c>
      <c r="B10" s="28" t="inlineStr">
        <is>
          <t>Fri Aug 28 01:51:14 2026 +0530</t>
        </is>
      </c>
      <c r="C10" s="29" t="inlineStr">
        <is>
          <t>feat: show SharePoint Original badge link under manual filename when sharepoint_path is present</t>
        </is>
      </c>
      <c r="D10" s="29" t="inlineStr">
        <is>
          <t>frontend/src/pages/ManualReview.tsx</t>
        </is>
      </c>
      <c r="E10" s="28" t="inlineStr">
        <is>
          <t>Completed</t>
        </is>
      </c>
    </row>
    <row r="11" ht="25.5" customHeight="1" s="30">
      <c r="A11" s="26" t="inlineStr">
        <is>
          <t>788085f</t>
        </is>
      </c>
      <c r="B11" s="26" t="inlineStr">
        <is>
          <t>Fri Aug 28 01:54:28 2026 +0530</t>
        </is>
      </c>
      <c r="C11" s="27" t="inlineStr">
        <is>
          <t>feat: support resolving and importing single-file SharePoint sharing links directly</t>
        </is>
      </c>
      <c r="D11" s="27" t="inlineStr">
        <is>
          <t>backend/app/services/sharepoint.py</t>
        </is>
      </c>
      <c r="E11" s="26" t="inlineStr">
        <is>
          <t>Completed</t>
        </is>
      </c>
    </row>
    <row r="12" ht="25.5" customHeight="1" s="30">
      <c r="A12" s="28" t="inlineStr">
        <is>
          <t>6518d34</t>
        </is>
      </c>
      <c r="B12" s="28" t="inlineStr">
        <is>
          <t>Fri Aug 7 18:01:02 2026 +0530</t>
        </is>
      </c>
      <c r="C12" s="29" t="inlineStr">
        <is>
          <t>Increase backend upload file limit configuration to 250MB and update UI label description</t>
        </is>
      </c>
      <c r="D12" s="29" t="inlineStr">
        <is>
          <t>backend/app/api/v1/ingestion.py
backend/app/core/config.py
frontend/src/pages/Ingestion.tsx</t>
        </is>
      </c>
      <c r="E12" s="28" t="inlineStr">
        <is>
          <t>Completed</t>
        </is>
      </c>
    </row>
    <row r="13" ht="25.5" customHeight="1" s="30">
      <c r="A13" s="26" t="inlineStr">
        <is>
          <t>72f0132</t>
        </is>
      </c>
      <c r="B13" s="26" t="inlineStr">
        <is>
          <t>Fri Jul 17 12:07:31 2026 +0530</t>
        </is>
      </c>
      <c r="C13" s="27" t="inlineStr">
        <is>
          <t>fix(sharepoint): support root site SharePoint URLs and decode/unquote URL path segments</t>
        </is>
      </c>
      <c r="D13" s="27" t="inlineStr">
        <is>
          <t>backend/app/services/sharepoint.py</t>
        </is>
      </c>
      <c r="E13" s="26" t="inlineStr">
        <is>
          <t>Completed</t>
        </is>
      </c>
    </row>
    <row r="14" ht="25.5" customHeight="1" s="30">
      <c r="A14" s="28" t="inlineStr">
        <is>
          <t>d62ae98</t>
        </is>
      </c>
      <c r="B14" s="28" t="inlineStr">
        <is>
          <t>Fri Jul 17 12:13:34 2026 +0530</t>
        </is>
      </c>
      <c r="C14" s="29" t="inlineStr">
        <is>
          <t>fix(sharepoint): fallback to default site drive when library lookup by name fails</t>
        </is>
      </c>
      <c r="D14" s="29" t="inlineStr">
        <is>
          <t>backend/app/services/sharepoint.py</t>
        </is>
      </c>
      <c r="E14" s="28" t="inlineStr">
        <is>
          <t>Completed</t>
        </is>
      </c>
    </row>
    <row r="15" ht="25.5" customHeight="1" s="30">
      <c r="A15" s="26" t="inlineStr">
        <is>
          <t>0209632</t>
        </is>
      </c>
      <c r="B15" s="26" t="inlineStr">
        <is>
          <t>Fri Jul 17 12:35:49 2026 +0530</t>
        </is>
      </c>
      <c r="C15" s="27" t="inlineStr">
        <is>
          <t>fix(ingestion): execute SharePoint downloads as FastAPI BackgroundTasks instead of Celery tasks</t>
        </is>
      </c>
      <c r="D15" s="27" t="inlineStr">
        <is>
          <t>backend/app/api/v1/ingestion.py</t>
        </is>
      </c>
      <c r="E15" s="26" t="inlineStr">
        <is>
          <t>Completed</t>
        </is>
      </c>
    </row>
    <row r="16" ht="25.5" customHeight="1" s="30">
      <c r="A16" s="28" t="inlineStr">
        <is>
          <t>693b448</t>
        </is>
      </c>
      <c r="B16" s="28" t="inlineStr">
        <is>
          <t>Fri Jul 17 12:39:08 2026 +0530</t>
        </is>
      </c>
      <c r="C16" s="29" t="inlineStr">
        <is>
          <t>fix(ingestion): remove duplicate route decorator from SharePoint bg task helper</t>
        </is>
      </c>
      <c r="D16" s="29" t="inlineStr">
        <is>
          <t>backend/app/api/v1/ingestion.py</t>
        </is>
      </c>
      <c r="E16" s="28" t="inlineStr">
        <is>
          <t>Completed</t>
        </is>
      </c>
    </row>
    <row r="17" ht="25.5" customHeight="1" s="30">
      <c r="A17" s="26" t="inlineStr">
        <is>
          <t>8f3f080</t>
        </is>
      </c>
      <c r="B17" s="26" t="inlineStr">
        <is>
          <t>Fri Jul 17 12:48:07 2026 +0530</t>
        </is>
      </c>
      <c r="C17" s="27" t="inlineStr">
        <is>
          <t>fix(ingestion): stop auto-classification during SharePoint ingestion, leave manuals as queued</t>
        </is>
      </c>
      <c r="D17" s="27" t="inlineStr">
        <is>
          <t>backend/app/api/v1/ingestion.py</t>
        </is>
      </c>
      <c r="E17" s="26" t="inlineStr">
        <is>
          <t>Completed</t>
        </is>
      </c>
    </row>
    <row r="18" ht="25.5" customHeight="1" s="30">
      <c r="A18" s="28" t="inlineStr">
        <is>
          <t>f650208</t>
        </is>
      </c>
      <c r="B18" s="28" t="inlineStr">
        <is>
          <t>Fri Jul 17 12:54:23 2026 +0530</t>
        </is>
      </c>
      <c r="C18" s="29" t="inlineStr">
        <is>
          <t>fix(frontend): invalidate ingestion-sessions query and stop polling when session completes</t>
        </is>
      </c>
      <c r="D18" s="29" t="inlineStr">
        <is>
          <t>frontend/src/pages/Ingestion.tsx</t>
        </is>
      </c>
      <c r="E18" s="28" t="inlineStr">
        <is>
          <t>Completed</t>
        </is>
      </c>
    </row>
    <row r="19" ht="25.5" customHeight="1" s="30">
      <c r="A19" s="26" t="inlineStr">
        <is>
          <t>14f57ca</t>
        </is>
      </c>
      <c r="B19" s="26" t="inlineStr">
        <is>
          <t>Fri Jul 31 15:17:24 2026 +0530</t>
        </is>
      </c>
      <c r="C19" s="27" t="inlineStr">
        <is>
          <t>feat: add batch ingestion controls and manuals batch filtering dropdown, fix SharePoint mock download hijacking</t>
        </is>
      </c>
      <c r="D19" s="27" t="inlineStr">
        <is>
          <t>backend/app/api/v1/ingestion.py
backend/app/api/v1/manuals.py
backend/app/models/ingestion.py
backend/app/schemas/ingestion.py
backend/app/schemas/manual.py
frontend/src/pages/Ingestion.tsx
frontend/src/pages/ManualReview.tsx</t>
        </is>
      </c>
      <c r="E19" s="26" t="inlineStr">
        <is>
          <t>Completed</t>
        </is>
      </c>
    </row>
    <row r="20" ht="25.5" customHeight="1" s="30">
      <c r="A20" s="28" t="inlineStr">
        <is>
          <t>3b718f7</t>
        </is>
      </c>
      <c r="B20" s="28" t="inlineStr">
        <is>
          <t>Fri Jul 31 15:53:02 2026 +0530</t>
        </is>
      </c>
      <c r="C20" s="29" t="inlineStr">
        <is>
          <t>fix: import Optional from typing in ingestion.py to resolve startup error</t>
        </is>
      </c>
      <c r="D20" s="29" t="inlineStr">
        <is>
          <t>backend/app/api/v1/ingestion.py</t>
        </is>
      </c>
      <c r="E20" s="28" t="inlineStr">
        <is>
          <t>Completed</t>
        </is>
      </c>
    </row>
    <row r="21" ht="25.5" customHeight="1" s="30">
      <c r="A21" s="26" t="inlineStr">
        <is>
          <t>3b0755e</t>
        </is>
      </c>
      <c r="B21" s="26" t="inlineStr">
        <is>
          <t>Thu Aug 13 01:11:36 2026 +0530</t>
        </is>
      </c>
      <c r="C21" s="27" t="inlineStr">
        <is>
          <t>fix: filter statistics manuals query to only include files with valid blob storage key</t>
        </is>
      </c>
      <c r="D21" s="27" t="inlineStr">
        <is>
          <t>backend/app/api/v1/ingestion.py</t>
        </is>
      </c>
      <c r="E21" s="26" t="inlineStr">
        <is>
          <t>Completed</t>
        </is>
      </c>
    </row>
    <row r="22" ht="25.5" customHeight="1" s="30">
      <c r="A22" s="28" t="inlineStr">
        <is>
          <t>6be1ff3</t>
        </is>
      </c>
      <c r="B22" s="28" t="inlineStr">
        <is>
          <t>Thu Aug 6 17:07:25 2026 +0530</t>
        </is>
      </c>
      <c r="C22" s="29" t="inlineStr">
        <is>
          <t>Implement real-time scanned page progress logging and Redis status state for screening</t>
        </is>
      </c>
      <c r="D22" s="29" t="inlineStr">
        <is>
          <t>backend/app/api/v1/ingestion.py
backend/app/services/classifier.py</t>
        </is>
      </c>
      <c r="E22" s="28" t="inlineStr">
        <is>
          <t>Completed</t>
        </is>
      </c>
    </row>
    <row r="23" ht="25.5" customHeight="1" s="30">
      <c r="A23" s="26" t="inlineStr">
        <is>
          <t>fb50f1e</t>
        </is>
      </c>
      <c r="B23" s="26" t="inlineStr">
        <is>
          <t>Thu Aug 6 17:30:22 2026 +0530</t>
        </is>
      </c>
      <c r="C23" s="27" t="inlineStr">
        <is>
          <t>Reuse classifier page text in screening to bypass duplicate full-manual reextract phase</t>
        </is>
      </c>
      <c r="D23" s="27" t="inlineStr">
        <is>
          <t>backend/app/api/v1/ingestion.py
backend/app/services/classifier.py</t>
        </is>
      </c>
      <c r="E23" s="26" t="inlineStr">
        <is>
          <t>Completed</t>
        </is>
      </c>
    </row>
    <row r="24" ht="25.5" customHeight="1" s="30">
      <c r="A24" s="28" t="inlineStr">
        <is>
          <t>727632d</t>
        </is>
      </c>
      <c r="B24" s="28" t="inlineStr">
        <is>
          <t>Thu Aug 6 17:41:16 2026 +0530</t>
        </is>
      </c>
      <c r="C24" s="29" t="inlineStr">
        <is>
          <t>Integrate screening control mutations and buttons (Pause/Resume/Stop) in frontend</t>
        </is>
      </c>
      <c r="D24" s="29" t="inlineStr">
        <is>
          <t>backend/app/api/v1/ingestion.py
frontend/src/pages/ManualReview.tsx</t>
        </is>
      </c>
      <c r="E24" s="28" t="inlineStr">
        <is>
          <t>Completed</t>
        </is>
      </c>
    </row>
    <row r="25" ht="25.5" customHeight="1" s="30">
      <c r="A25" s="26" t="inlineStr">
        <is>
          <t>a4995e2</t>
        </is>
      </c>
      <c r="B25" s="26" t="inlineStr">
        <is>
          <t>Thu Aug 6 17:52:47 2026 +0530</t>
        </is>
      </c>
      <c r="C25" s="27" t="inlineStr">
        <is>
          <t>Fix DB save failure during screening by removing invalid screening_explanation column</t>
        </is>
      </c>
      <c r="D25" s="27" t="inlineStr">
        <is>
          <t>backend/app/api/v1/ingestion.py</t>
        </is>
      </c>
      <c r="E25" s="26" t="inlineStr">
        <is>
          <t>Completed</t>
        </is>
      </c>
    </row>
    <row r="26" ht="25.5" customHeight="1" s="30">
      <c r="A26" s="28" t="inlineStr">
        <is>
          <t>8c3a431</t>
        </is>
      </c>
      <c r="B26" s="28" t="inlineStr">
        <is>
          <t>Thu Jul 30 19:48:18 2026 +0530</t>
        </is>
      </c>
      <c r="C26" s="29" t="inlineStr">
        <is>
          <t>fix: keep checked sharepoint files selected when navigating folders, and exclude not fully downloaded manuals from the manuals page</t>
        </is>
      </c>
      <c r="D26" s="29" t="inlineStr">
        <is>
          <t>backend/app/api/v1/manuals.py
frontend/src/pages/Ingestion.tsx</t>
        </is>
      </c>
      <c r="E26" s="28" t="inlineStr">
        <is>
          <t>Completed</t>
        </is>
      </c>
    </row>
    <row r="27" ht="25.5" customHeight="1" s="30">
      <c r="A27" s="26" t="inlineStr">
        <is>
          <t>8e96557</t>
        </is>
      </c>
      <c r="B27" s="26" t="inlineStr">
        <is>
          <t>Thu Jul 30 19:56:04 2026 +0530</t>
        </is>
      </c>
      <c r="C27" s="27" t="inlineStr">
        <is>
          <t>feat: add View / Edit selected files modal to SharePoint Ingestion screen</t>
        </is>
      </c>
      <c r="D27" s="27" t="inlineStr">
        <is>
          <t>frontend/src/pages/Ingestion.tsx</t>
        </is>
      </c>
      <c r="E27" s="26" t="inlineStr">
        <is>
          <t>Completed</t>
        </is>
      </c>
    </row>
    <row r="28" ht="25.5" customHeight="1" s="30">
      <c r="A28" s="28" t="inlineStr">
        <is>
          <t>330b036</t>
        </is>
      </c>
      <c r="B28" s="28" t="inlineStr">
        <is>
          <t>Thu Jul 30 20:01:55 2026 +0530</t>
        </is>
      </c>
      <c r="C28" s="29" t="inlineStr">
        <is>
          <t>feat: improve selected files modal to a compact, scrollable table with sorting, search filtering, and select-all checkboxes</t>
        </is>
      </c>
      <c r="D28" s="29" t="inlineStr">
        <is>
          <t>frontend/src/pages/Ingestion.tsx</t>
        </is>
      </c>
      <c r="E28" s="28" t="inlineStr">
        <is>
          <t>Completed</t>
        </is>
      </c>
    </row>
    <row r="29" ht="25.5" customHeight="1" s="30">
      <c r="A29" s="26" t="inlineStr">
        <is>
          <t>0719295</t>
        </is>
      </c>
      <c r="B29" s="26" t="inlineStr">
        <is>
          <t>Tue Aug 11 23:45:04 2026 +0530</t>
        </is>
      </c>
      <c r="C29" s="27" t="inlineStr">
        <is>
          <t>Separate pdfplumber and pytesseract imports in _enrich_pdf_text_for_selected_pages to prevent pytesseract failure from blocking text extraction</t>
        </is>
      </c>
      <c r="D29" s="27" t="inlineStr">
        <is>
          <t>backend/app/services/extractor.py</t>
        </is>
      </c>
      <c r="E29" s="26" t="inlineStr">
        <is>
          <t>Completed</t>
        </is>
      </c>
    </row>
    <row r="30" ht="25.5" customHeight="1" s="30">
      <c r="A30" s="28" t="inlineStr">
        <is>
          <t>d017452</t>
        </is>
      </c>
      <c r="B30" s="28" t="inlineStr">
        <is>
          <t>Wed Aug 26 07:45:24 2026 +0530</t>
        </is>
      </c>
      <c r="C30" s="29" t="inlineStr">
        <is>
          <t>feat: add interactive debug-restore-m29 endpoint</t>
        </is>
      </c>
      <c r="D30" s="29" t="inlineStr">
        <is>
          <t>backend/app/api/v1/ingestion.py</t>
        </is>
      </c>
      <c r="E30" s="28" t="inlineStr">
        <is>
          <t>Completed</t>
        </is>
      </c>
    </row>
    <row r="31" ht="25.5" customHeight="1" s="30">
      <c r="A31" s="26" t="inlineStr">
        <is>
          <t>e078c6a</t>
        </is>
      </c>
      <c r="B31" s="26" t="inlineStr">
        <is>
          <t>Wed Aug 26 08:03:29 2026 +0530</t>
        </is>
      </c>
      <c r="C31" s="27" t="inlineStr">
        <is>
          <t>feat: move debug-restore-m29 endpoint to auth router to bypass vessel regex conflict</t>
        </is>
      </c>
      <c r="D31" s="27" t="inlineStr">
        <is>
          <t>backend/app/api/v1/auth.py
backend/app/api/v1/ingestion.py</t>
        </is>
      </c>
      <c r="E31" s="26" t="inlineStr">
        <is>
          <t>Completed</t>
        </is>
      </c>
    </row>
    <row r="32" ht="25.5" customHeight="1" s="30">
      <c r="A32" s="28" t="inlineStr">
        <is>
          <t>aa16c29</t>
        </is>
      </c>
      <c r="B32" s="28" t="inlineStr">
        <is>
          <t>Wed Jul 29 17:14:17 2026 +0530</t>
        </is>
      </c>
      <c r="C32" s="29" t="inlineStr">
        <is>
          <t>feat: add SharePoint folder navigation, sharing link support, type filters, and session restoration</t>
        </is>
      </c>
      <c r="D32" s="29" t="inlineStr">
        <is>
          <t>backend/app/api/v1/ingestion.py
backend/app/schemas/ingestion.py
backend/app/services/sharepoint.py
frontend/src/pages/Ingestion.tsx</t>
        </is>
      </c>
      <c r="E32" s="28" t="inlineStr">
        <is>
          <t>Completed</t>
        </is>
      </c>
    </row>
    <row r="33" ht="25.5" customHeight="1" s="30">
      <c r="A33" s="26" t="inlineStr">
        <is>
          <t>69b1f60</t>
        </is>
      </c>
      <c r="B33" s="26" t="inlineStr">
        <is>
          <t>Wed Jul 29 17:20:44 2026 +0530</t>
        </is>
      </c>
      <c r="C33" s="27" t="inlineStr">
        <is>
          <t>fix: rename Navigations tab to SharePoint, restore breadcrumb step names, and fix session loop in New Ingestion</t>
        </is>
      </c>
      <c r="D33" s="27" t="inlineStr">
        <is>
          <t>frontend/src/pages/Ingestion.tsx</t>
        </is>
      </c>
      <c r="E33" s="26" t="inlineStr">
        <is>
          <t>Completed</t>
        </is>
      </c>
    </row>
    <row r="34" ht="25.5" customHeight="1" s="30">
      <c r="A34" s="28" t="inlineStr">
        <is>
          <t>e92981d</t>
        </is>
      </c>
      <c r="B34" s="28" t="inlineStr">
        <is>
          <t>Wed Jul 29 17:32:36 2026 +0530</t>
        </is>
      </c>
      <c r="C34" s="29" t="inlineStr">
        <is>
          <t>fix: add 10-second buffer to session manuals query to prevent timing/microsecond precision issues</t>
        </is>
      </c>
      <c r="D34" s="29" t="inlineStr">
        <is>
          <t>backend/app/api/v1/ingestion.py</t>
        </is>
      </c>
      <c r="E34" s="28" t="inlineStr">
        <is>
          <t>Completed</t>
        </is>
      </c>
    </row>
    <row r="35" ht="25.5" customHeight="1" s="30">
      <c r="A35" s="26" t="inlineStr">
        <is>
          <t>db6a4b6</t>
        </is>
      </c>
      <c r="B35" s="26" t="inlineStr">
        <is>
          <t>Wed Jul 29 17:40:01 2026 +0530</t>
        </is>
      </c>
      <c r="C35" s="27" t="inlineStr">
        <is>
          <t>style: set manuals progress list table height to fixed size and make it scrollable with sticky headers</t>
        </is>
      </c>
      <c r="D35" s="27" t="inlineStr">
        <is>
          <t>frontend/src/pages/Ingestion.tsx</t>
        </is>
      </c>
      <c r="E35" s="26" t="inlineStr">
        <is>
          <t>Completed</t>
        </is>
      </c>
    </row>
    <row r="36" ht="25.5" customHeight="1" s="30">
      <c r="A36" s="28" t="inlineStr">
        <is>
          <t>0bd15f9</t>
        </is>
      </c>
      <c r="B36" s="28" t="inlineStr">
        <is>
          <t>Wed Jul 29 17:51:15 2026 +0530</t>
        </is>
      </c>
      <c r="C36" s="29" t="inlineStr">
        <is>
          <t>style: move Previous Sessions list above manuals progress table in Ingestion.tsx</t>
        </is>
      </c>
      <c r="D36" s="29" t="inlineStr">
        <is>
          <t>frontend/src/pages/Ingestion.tsx</t>
        </is>
      </c>
      <c r="E36" s="28" t="inlineStr">
        <is>
          <t>Completed</t>
        </is>
      </c>
    </row>
    <row r="37" ht="25.5" customHeight="1" s="30">
      <c r="A37" s="26" t="inlineStr">
        <is>
          <t>5249364</t>
        </is>
      </c>
      <c r="B37" s="26" t="inlineStr">
        <is>
          <t>Wed Jun 10 17:07:50 2026 +0530</t>
        </is>
      </c>
      <c r="C37" s="27" t="inlineStr">
        <is>
          <t>Update: Slow loading of the manual in manuals tab</t>
        </is>
      </c>
      <c r="D37" s="27" t="inlineStr">
        <is>
          <t>backend/app/api/v1/ingestion.py
frontend/src/pages/ManualReview.tsx</t>
        </is>
      </c>
      <c r="E37" s="26" t="inlineStr">
        <is>
          <t>Completed</t>
        </is>
      </c>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Manuals Page</t>
        </is>
      </c>
    </row>
    <row r="2" ht="18" customHeight="1" s="30">
      <c r="A2" s="25" t="inlineStr">
        <is>
          <t>Complete repository commits targeting features and files on the Manuals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4476c45</t>
        </is>
      </c>
      <c r="B5" s="26" t="inlineStr">
        <is>
          <t>Fri Aug 28 01:33:58 2026 +0530</t>
        </is>
      </c>
      <c r="C5" s="27" t="inlineStr">
        <is>
          <t>fix: report missing pages only for categories where page reference is explicitly provided</t>
        </is>
      </c>
      <c r="D5" s="27" t="inlineStr">
        <is>
          <t>backend/app/api/v1/manuals.py</t>
        </is>
      </c>
      <c r="E5" s="26" t="inlineStr">
        <is>
          <t>Completed</t>
        </is>
      </c>
    </row>
    <row r="6" ht="25.5" customHeight="1" s="30">
      <c r="A6" s="28" t="inlineStr">
        <is>
          <t>f6efeda</t>
        </is>
      </c>
      <c r="B6" s="28" t="inlineStr">
        <is>
          <t>Fri Aug 7 16:01:21 2026 +0530</t>
        </is>
      </c>
      <c r="C6" s="29" t="inlineStr">
        <is>
          <t>Extend manuals sorting options in backend and implement full column sorting on manual review page</t>
        </is>
      </c>
      <c r="D6" s="29" t="inlineStr">
        <is>
          <t>backend/app/api/v1/manuals.py
frontend/src/pages/ManualReview.tsx</t>
        </is>
      </c>
      <c r="E6" s="28" t="inlineStr">
        <is>
          <t>Completed</t>
        </is>
      </c>
    </row>
    <row r="7" ht="25.5" customHeight="1" s="30">
      <c r="A7" s="26" t="inlineStr">
        <is>
          <t>ac63f1b</t>
        </is>
      </c>
      <c r="B7" s="26" t="inlineStr">
        <is>
          <t>Fri Aug 7 17:48:38 2026 +0530</t>
        </is>
      </c>
      <c r="C7" s="27" t="inlineStr">
        <is>
          <t>Increase Nginx client_max_body_size limit to 1000m to support uploading large manual files</t>
        </is>
      </c>
      <c r="D7" s="27" t="inlineStr">
        <is>
          <t>frontend/nginx.conf.template</t>
        </is>
      </c>
      <c r="E7" s="26" t="inlineStr">
        <is>
          <t>Completed</t>
        </is>
      </c>
    </row>
    <row r="8" ht="25.5" customHeight="1" s="30">
      <c r="A8" s="28" t="inlineStr">
        <is>
          <t>e105a77</t>
        </is>
      </c>
      <c r="B8" s="28" t="inlineStr">
        <is>
          <t>Fri Jul 31 15:59:29 2026 +0530</t>
        </is>
      </c>
      <c r="C8" s="29" t="inlineStr">
        <is>
          <t>feat: add database migration to add batch_number column to manuals table</t>
        </is>
      </c>
      <c r="D8" s="29" t="inlineStr">
        <is>
          <t>backend/alembic/versions/0024_add_batch_number_to_manuals.py</t>
        </is>
      </c>
      <c r="E8" s="28" t="inlineStr">
        <is>
          <t>Completed</t>
        </is>
      </c>
    </row>
    <row r="9" ht="25.5" customHeight="1" s="30">
      <c r="A9" s="26" t="inlineStr">
        <is>
          <t>14e7055</t>
        </is>
      </c>
      <c r="B9" s="26" t="inlineStr">
        <is>
          <t>Thu Aug 6 18:16:44 2026 +0530</t>
        </is>
      </c>
      <c r="C9" s="27" t="inlineStr">
        <is>
          <t>Style screening complete banner with entirely bold black text on high-contrast solid emerald background</t>
        </is>
      </c>
      <c r="D9" s="27" t="inlineStr">
        <is>
          <t>frontend/src/pages/ManualReview.tsx</t>
        </is>
      </c>
      <c r="E9" s="26" t="inlineStr">
        <is>
          <t>Completed</t>
        </is>
      </c>
    </row>
    <row r="10" ht="25.5" customHeight="1" s="30">
      <c r="A10" s="28" t="inlineStr">
        <is>
          <t>012f4bd</t>
        </is>
      </c>
      <c r="B10" s="28" t="inlineStr">
        <is>
          <t>Tue Aug 11 19:58:53 2026 +0530</t>
        </is>
      </c>
      <c r="C10" s="29" t="inlineStr">
        <is>
          <t>Eagerly load extracted_text with undefer and normalize CRLF line endings in auto_extract_from_manual</t>
        </is>
      </c>
      <c r="D10" s="29" t="inlineStr">
        <is>
          <t>backend/app/services/extractor.py</t>
        </is>
      </c>
      <c r="E10" s="28" t="inlineStr">
        <is>
          <t>Completed</t>
        </is>
      </c>
    </row>
    <row r="11" ht="25.5" customHeight="1" s="30">
      <c r="A11" s="26" t="inlineStr">
        <is>
          <t>0490597</t>
        </is>
      </c>
      <c r="B11" s="26" t="inlineStr">
        <is>
          <t>Tue Aug 11 23:52:19 2026 +0530</t>
        </is>
      </c>
      <c r="C11" s="27" t="inlineStr">
        <is>
          <t>UI update: keep only physical page reference input and label it as page number only</t>
        </is>
      </c>
      <c r="D11" s="27" t="inlineStr">
        <is>
          <t>frontend/src/pages/ManualReview.tsx</t>
        </is>
      </c>
      <c r="E11" s="26" t="inlineStr">
        <is>
          <t>Completed</t>
        </is>
      </c>
    </row>
    <row r="12" ht="25.5" customHeight="1" s="30">
      <c r="A12" s="28" t="inlineStr">
        <is>
          <t>255a42e</t>
        </is>
      </c>
      <c r="B12" s="28" t="inlineStr">
        <is>
          <t>Tue Aug 18 10:11:54 2026 +0530</t>
        </is>
      </c>
      <c r="C12" s="29" t="inlineStr">
        <is>
          <t>feat: increase max request size limit to 1000 MB to support 500 MB manual uploads</t>
        </is>
      </c>
      <c r="D12" s="29" t="inlineStr">
        <is>
          <t>backend/app/core/config.py</t>
        </is>
      </c>
      <c r="E12" s="28" t="inlineStr">
        <is>
          <t>Completed</t>
        </is>
      </c>
    </row>
    <row r="13" ht="25.5" customHeight="1" s="30">
      <c r="A13" s="26" t="inlineStr">
        <is>
          <t>c9f2613</t>
        </is>
      </c>
      <c r="B13" s="26" t="inlineStr">
        <is>
          <t>Tue Aug 25 19:06:16 2026 +0530</t>
        </is>
      </c>
      <c r="C13" s="27" t="inlineStr">
        <is>
          <t>feat: add automatic M-29 manuals database data recovery on container boot</t>
        </is>
      </c>
      <c r="D13" s="27" t="inlineStr">
        <is>
          <t>backend/app/main.py</t>
        </is>
      </c>
      <c r="E13" s="26" t="inlineStr">
        <is>
          <t>Completed</t>
        </is>
      </c>
    </row>
    <row r="14" ht="25.5" customHeight="1" s="30">
      <c r="A14" s="28" t="inlineStr">
        <is>
          <t>d4e7601</t>
        </is>
      </c>
      <c r="B14" s="28" t="inlineStr">
        <is>
          <t>Tue Aug 25 19:23:37 2026 +0530</t>
        </is>
      </c>
      <c r="C14" s="29" t="inlineStr">
        <is>
          <t>feat: print production manuals updated count on boot</t>
        </is>
      </c>
      <c r="D14" s="29" t="inlineStr">
        <is>
          <t>backend/app/main.py</t>
        </is>
      </c>
      <c r="E14" s="28" t="inlineStr">
        <is>
          <t>Completed</t>
        </is>
      </c>
    </row>
    <row r="15" ht="25.5" customHeight="1" s="30">
      <c r="A15" s="26" t="inlineStr">
        <is>
          <t>90a655d</t>
        </is>
      </c>
      <c r="B15" s="26" t="inlineStr">
        <is>
          <t>Tue Aug 4 12:11:01 2026 +0530</t>
        </is>
      </c>
      <c r="C15" s="27" t="inlineStr">
        <is>
          <t>Optimize page rendering resolution and fix frontend extraction status polling</t>
        </is>
      </c>
      <c r="D15" s="27" t="inlineStr">
        <is>
          <t>backend/app/services/extractor.py
frontend/src/pages/ManualReview.tsx</t>
        </is>
      </c>
      <c r="E15" s="26" t="inlineStr">
        <is>
          <t>Completed</t>
        </is>
      </c>
    </row>
    <row r="16" ht="25.5" customHeight="1" s="30">
      <c r="A16" s="28" t="inlineStr">
        <is>
          <t>b01fd92</t>
        </is>
      </c>
      <c r="B16" s="28" t="inlineStr">
        <is>
          <t>Wed Aug 19 19:02:04 2026 +0530</t>
        </is>
      </c>
      <c r="C16" s="29" t="inlineStr">
        <is>
          <t>feat: make startup seeder tenant-aware to seed 16940 records for all database tenants</t>
        </is>
      </c>
      <c r="D16" s="29" t="inlineStr">
        <is>
          <t>backend/app/main.py</t>
        </is>
      </c>
      <c r="E16" s="28" t="inlineStr">
        <is>
          <t>Completed</t>
        </is>
      </c>
    </row>
    <row r="17" ht="25.5" customHeight="1" s="30">
      <c r="A17" s="26" t="inlineStr">
        <is>
          <t>2932277</t>
        </is>
      </c>
      <c r="B17" s="26" t="inlineStr">
        <is>
          <t>Wed Aug 19 19:18:13 2026 +0530</t>
        </is>
      </c>
      <c r="C17" s="27" t="inlineStr">
        <is>
          <t>fix: prevent global library backfill from soft-deleting standard seeded records and restore previously deleted records</t>
        </is>
      </c>
      <c r="D17" s="27" t="inlineStr">
        <is>
          <t>backend/app/api/v1/library.py
backend/app/services/review_workflow.py</t>
        </is>
      </c>
      <c r="E17" s="26" t="inlineStr">
        <is>
          <t>Completed</t>
        </is>
      </c>
    </row>
    <row r="18" ht="25.5" customHeight="1" s="30">
      <c r="A18" s="28" t="inlineStr">
        <is>
          <t>9d389e3</t>
        </is>
      </c>
      <c r="B18" s="28" t="inlineStr">
        <is>
          <t>Wed Aug 26 06:50:25 2026 +0530</t>
        </is>
      </c>
      <c r="C18" s="29" t="inlineStr">
        <is>
          <t>feat: reset stuck manuals to failed state on startup and log E-32 status</t>
        </is>
      </c>
      <c r="D18" s="29" t="inlineStr">
        <is>
          <t>backend/app/main.py</t>
        </is>
      </c>
      <c r="E18" s="28" t="inlineStr">
        <is>
          <t>Completed</t>
        </is>
      </c>
    </row>
    <row r="19" ht="25.5" customHeight="1" s="30">
      <c r="A19" s="26" t="inlineStr">
        <is>
          <t>f3063fc</t>
        </is>
      </c>
      <c r="B19" s="26" t="inlineStr">
        <is>
          <t>Wed Aug 26 09:42:18 2026 +0530</t>
        </is>
      </c>
      <c r="C19" s="27" t="inlineStr">
        <is>
          <t>feat: catch CancelledError on task stop to update manual status in DB</t>
        </is>
      </c>
      <c r="D19" s="27" t="inlineStr">
        <is>
          <t>backend/app/services/extractor.py</t>
        </is>
      </c>
      <c r="E19" s="26" t="inlineStr">
        <is>
          <t>Completed</t>
        </is>
      </c>
    </row>
    <row r="20">
      <c r="A20" s="0" t="inlineStr">
        <is>
          <t>215c80f</t>
        </is>
      </c>
      <c r="B20" s="0" t="inlineStr">
        <is>
          <t>Wed Oct 07 11:05:55 2026 +0530</t>
        </is>
      </c>
      <c r="C20" s="0" t="inlineStr">
        <is>
          <t>fix(spares): capture part_name verbatim as in manual preserving abbreviations and misspellings in Proper Text</t>
        </is>
      </c>
      <c r="D20" s="0" t="inlineStr">
        <is>
          <t>backend/app/services/extractor.py</t>
        </is>
      </c>
      <c r="E20" s="0" t="inlineStr">
        <is>
          <t>Completed</t>
        </is>
      </c>
    </row>
    <row r="21">
      <c r="A21" s="0" t="inlineStr">
        <is>
          <t>b0c64ec</t>
        </is>
      </c>
      <c r="B21" s="0" t="inlineStr">
        <is>
          <t>Tue Sep 22 22:42:28 2026 +0530</t>
        </is>
      </c>
      <c r="C21" s="0" t="inlineStr">
        <is>
          <t>feat(snip-extract): add searchable filter dropdown for PDF manual source in Jobs and Spares</t>
        </is>
      </c>
      <c r="D21" s="0" t="inlineStr">
        <is>
          <t>frontend/src/components/SearchableSelect.tsx
frontend/src/components/jobs/SnipExtractJobsModal.tsx
frontend/src/components/spares/SnipExtractModal.tsx</t>
        </is>
      </c>
      <c r="E21" s="0" t="inlineStr">
        <is>
          <t>Completed</t>
        </is>
      </c>
    </row>
    <row r="22">
      <c r="A22" s="0" t="inlineStr">
        <is>
          <t>5c9dd9b</t>
        </is>
      </c>
      <c r="B22" s="0" t="inlineStr">
        <is>
          <t>Mon Sep 21 16:10:50 2026 +0530</t>
        </is>
      </c>
      <c r="C22" s="0" t="inlineStr">
        <is>
          <t>feat(preview): add PyMuPDF rendering, disk caching, progress bar, and user-cancellable loading without timeout</t>
        </is>
      </c>
      <c r="D22" s="0" t="inlineStr">
        <is>
          <t>backend/app/api/v1/manuals.py
backend/requirements.txt
frontend/src/components/jobs/SnipExtractJobsModal.tsx
frontend/src/components/manuals/ManualPagePreview.tsx
frontend/src/components/spares/SnipExtractModal.tsx
requirements.txt</t>
        </is>
      </c>
      <c r="E22" s="0" t="inlineStr">
        <is>
          <t>Completed</t>
        </is>
      </c>
    </row>
    <row r="23">
      <c r="A23" s="0" t="inlineStr">
        <is>
          <t>a2fd561</t>
        </is>
      </c>
      <c r="B23" s="0" t="inlineStr">
        <is>
          <t>Thu Sep 10 03:05:59 2026 +0530</t>
        </is>
      </c>
      <c r="C23" s="0" t="inlineStr">
        <is>
          <t>fix: include manual name in QC export filename when source manual filter is applied</t>
        </is>
      </c>
      <c r="D23" s="0" t="inlineStr">
        <is>
          <t>backend/app/api/v1/components.py
backend/app/api/v1/jobs.py
backend/app/api/v1/spares.py</t>
        </is>
      </c>
      <c r="E23" s="0" t="inlineStr">
        <is>
          <t>Completed</t>
        </is>
      </c>
    </row>
    <row r="24">
      <c r="A24" s="0" t="inlineStr">
        <is>
          <t>a33be48</t>
        </is>
      </c>
      <c r="B24" s="0" t="inlineStr">
        <is>
          <t>Thu Sep 10 02:57:49 2026 +0530</t>
        </is>
      </c>
      <c r="C24" s="0" t="inlineStr">
        <is>
          <t>fix: enforce user-entered page references strictly and clear auto-screened reference data</t>
        </is>
      </c>
      <c r="D24" s="0" t="inlineStr">
        <is>
          <t>app_changelog_pm.xlsx
backend/app/api/v1/ingestion.py
backend/app/api/v1/manuals.py
backend/app/services/classifier.py
chat_history_export.csv
code_changes_history.csv
code_changes_history.xlsx
frontend/src/components/manuals/ExtractionConfirmationModal.tsx
page_changes_git_commits.xlsx
page_changes_pm.xlsx
page_changes_pm_full.xlsx</t>
        </is>
      </c>
      <c r="E24" s="0" t="inlineStr">
        <is>
          <t>Completed</t>
        </is>
      </c>
    </row>
    <row r="25">
      <c r="A25" s="0" t="inlineStr">
        <is>
          <t>ca95af9</t>
        </is>
      </c>
      <c r="B25" s="0" t="inlineStr">
        <is>
          <t>Wed Sep 09 01:56:58 2026 +0530</t>
        </is>
      </c>
      <c r="C25" s="0" t="inlineStr">
        <is>
          <t>fix: enforce strict manual page sequence order for spare parts export and listing</t>
        </is>
      </c>
      <c r="D25" s="0" t="inlineStr">
        <is>
          <t>backend/app/api/v1/spares.py</t>
        </is>
      </c>
      <c r="E25" s="0" t="inlineStr">
        <is>
          <t>Completed</t>
        </is>
      </c>
    </row>
    <row r="26">
      <c r="A26" s="0" t="inlineStr">
        <is>
          <t>634f831</t>
        </is>
      </c>
      <c r="B26" s="0" t="inlineStr">
        <is>
          <t>Mon Aug 31 23:14:30 2026 +0530</t>
        </is>
      </c>
      <c r="C26" s="0" t="inlineStr">
        <is>
          <t>feat: pin selected manuals at the top of confirmation modal and add category/selection filters</t>
        </is>
      </c>
      <c r="D26" s="0" t="inlineStr">
        <is>
          <t>frontend/src/components/manuals/ExtractionConfirmationModal.tsx</t>
        </is>
      </c>
      <c r="E26" s="0" t="inlineStr">
        <is>
          <t>Completed</t>
        </is>
      </c>
    </row>
    <row r="27">
      <c r="A27" s="0" t="inlineStr">
        <is>
          <t>f6da43b</t>
        </is>
      </c>
      <c r="B27" s="0" t="inlineStr">
        <is>
          <t>Mon Aug 31 19:32:36 2026 +0530</t>
        </is>
      </c>
      <c r="C27" s="0" t="inlineStr">
        <is>
          <t>feat: add batch extraction confirmation modal and integrate premium FilterableDropdown for jobs component selection</t>
        </is>
      </c>
      <c r="D27" s="0" t="inlineStr">
        <is>
          <t>frontend/src/components/common/FilterableDropdown.tsx
frontend/src/components/manuals/ExtractionConfirmationModal.tsx
frontend/src/pages/JobsReview.tsx
frontend/src/pages/ManualReview.tsx</t>
        </is>
      </c>
      <c r="E27" s="0" t="inlineStr">
        <is>
          <t>Completed</t>
        </is>
      </c>
    </row>
    <row r="28">
      <c r="A28" s="0" t="inlineStr">
        <is>
          <t>c47a416</t>
        </is>
      </c>
      <c r="B28" s="0" t="inlineStr">
        <is>
          <t>Mon Aug 31 15:07:09 2026 +0530</t>
        </is>
      </c>
      <c r="C28" s="0" t="inlineStr">
        <is>
          <t>feat: add 4-minute page-level extraction timeout and update page status modal timeout to 4 minutes</t>
        </is>
      </c>
      <c r="D28" s="0" t="inlineStr">
        <is>
          <t>backend/app/services/extractor.py
frontend/src/components/manuals/ManualPageStatusModal.tsx</t>
        </is>
      </c>
      <c r="E28" s="0" t="inlineStr">
        <is>
          <t>Completed</t>
        </is>
      </c>
    </row>
    <row r="29">
      <c r="A29" s="0" t="inlineStr">
        <is>
          <t>6334ab3</t>
        </is>
      </c>
      <c r="B29" s="0" t="inlineStr">
        <is>
          <t>Mon Aug 31 15:00:35 2026 +0530</t>
        </is>
      </c>
      <c r="C29" s="0" t="inlineStr">
        <is>
          <t>fix: resolve stale extraction progress tracking state on completion/failure and add 2m timeout to page-status request</t>
        </is>
      </c>
      <c r="D29" s="0" t="inlineStr">
        <is>
          <t>backend/app/services/extractor.py
frontend/src/components/manuals/ManualPageStatusModal.tsx</t>
        </is>
      </c>
      <c r="E29" s="0" t="inlineStr">
        <is>
          <t>Completed</t>
        </is>
      </c>
    </row>
    <row r="30">
      <c r="A30" s="0" t="inlineStr">
        <is>
          <t>c4be931</t>
        </is>
      </c>
      <c r="B30" s="0" t="inlineStr">
        <is>
          <t>Fri Aug 28 01:51:14 2026 +0530</t>
        </is>
      </c>
      <c r="C30" s="0" t="inlineStr">
        <is>
          <t>feat: show SharePoint Original badge link under manual filename when sharepoint_path is present</t>
        </is>
      </c>
      <c r="D30" s="0" t="inlineStr">
        <is>
          <t>frontend/src/pages/ManualReview.tsx</t>
        </is>
      </c>
      <c r="E30" s="0" t="inlineStr">
        <is>
          <t>Completed</t>
        </is>
      </c>
    </row>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Status Modal</t>
        </is>
      </c>
    </row>
    <row r="2" ht="18" customHeight="1" s="30">
      <c r="A2" s="25" t="inlineStr">
        <is>
          <t>Complete repository commits targeting features and files on the Status Modal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b33f6ce</t>
        </is>
      </c>
      <c r="B5" s="26" t="inlineStr">
        <is>
          <t>Wed Jul 29 17:55:28 2026 +0530</t>
        </is>
      </c>
      <c r="C5" s="27" t="inlineStr">
        <is>
          <t>feat: add manual retry endpoint and UI button on ingestion progress table for failed manuals</t>
        </is>
      </c>
      <c r="D5" s="27" t="inlineStr">
        <is>
          <t>backend/app/api/v1/ingestion.py
frontend/src/pages/Ingestion.tsx</t>
        </is>
      </c>
      <c r="E5" s="26" t="inlineStr">
        <is>
          <t>Completed</t>
        </is>
      </c>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Components Page</t>
        </is>
      </c>
    </row>
    <row r="2" ht="18" customHeight="1" s="30">
      <c r="A2" s="25" t="inlineStr">
        <is>
          <t>Complete repository commits targeting features and files on the Components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47151e9</t>
        </is>
      </c>
      <c r="B5" s="26" t="inlineStr">
        <is>
          <t>Fri Aug 14 02:21:05 2026 +0530</t>
        </is>
      </c>
      <c r="C5" s="27" t="inlineStr">
        <is>
          <t>feat: add Claude AI &amp; APIs statistics tab detailing keys status, active models, endpoints, and token counts</t>
        </is>
      </c>
      <c r="D5" s="27" t="inlineStr">
        <is>
          <t>backend/app/api/v1/ingestion.py
frontend/src/components/manuals/ManualsStatsModal.tsx</t>
        </is>
      </c>
      <c r="E5" s="26" t="inlineStr">
        <is>
          <t>Completed</t>
        </is>
      </c>
    </row>
    <row r="6" ht="25.5" customHeight="1" s="30">
      <c r="A6" s="28" t="inlineStr">
        <is>
          <t>0913aae</t>
        </is>
      </c>
      <c r="B6" s="28" t="inlineStr">
        <is>
          <t>Fri Aug 14 02:26:22 2026 +0530</t>
        </is>
      </c>
      <c r="C6" s="29" t="inlineStr">
        <is>
          <t>feat: query real Anthropic Console usage/cost endpoints using Admin API Key and add dynamic console logs tab in statistics modal</t>
        </is>
      </c>
      <c r="D6" s="29" t="inlineStr">
        <is>
          <t>backend/app/api/v1/ingestion.py
backend/app/core/config.py
backend/app/services/anthropic_admin.py
frontend/src/components/manuals/ManualsStatsModal.tsx</t>
        </is>
      </c>
      <c r="E6" s="28" t="inlineStr">
        <is>
          <t>Completed</t>
        </is>
      </c>
    </row>
    <row r="7" ht="25.5" customHeight="1" s="30">
      <c r="A7" s="26" t="inlineStr">
        <is>
          <t>8962ea7</t>
        </is>
      </c>
      <c r="B7" s="26" t="inlineStr">
        <is>
          <t>Fri Aug 14 02:31:14 2026 +0530</t>
        </is>
      </c>
      <c r="C7" s="27" t="inlineStr">
        <is>
          <t>feat: bind console day costs to price calibrator date selector to auto-fill actual values</t>
        </is>
      </c>
      <c r="D7" s="27" t="inlineStr">
        <is>
          <t>frontend/src/components/manuals/ManualsStatsModal.tsx</t>
        </is>
      </c>
      <c r="E7" s="26" t="inlineStr">
        <is>
          <t>Completed</t>
        </is>
      </c>
    </row>
    <row r="8" ht="25.5" customHeight="1" s="30">
      <c r="A8" s="28" t="inlineStr">
        <is>
          <t>bfa1ab2</t>
        </is>
      </c>
      <c r="B8" s="28" t="inlineStr">
        <is>
          <t>Fri Aug 14 05:30:46 2026 +0530</t>
        </is>
      </c>
      <c r="C8" s="29" t="inlineStr">
        <is>
          <t>feat: show console billed cost prominently on overview tab metrics grid</t>
        </is>
      </c>
      <c r="D8" s="29" t="inlineStr">
        <is>
          <t>frontend/src/components/manuals/ManualsStatsModal.tsx</t>
        </is>
      </c>
      <c r="E8" s="28" t="inlineStr">
        <is>
          <t>Completed</t>
        </is>
      </c>
    </row>
    <row r="9" ht="25.5" customHeight="1" s="30">
      <c r="A9" s="26" t="inlineStr">
        <is>
          <t>d6dedb6</t>
        </is>
      </c>
      <c r="B9" s="26" t="inlineStr">
        <is>
          <t>Fri Aug 28 01:01:32 2026 +0530</t>
        </is>
      </c>
      <c r="C9" s="27" t="inlineStr">
        <is>
          <t>feat: force status modal to reload fresh data on open</t>
        </is>
      </c>
      <c r="D9" s="27" t="inlineStr">
        <is>
          <t>frontend/src/components/manuals/ManualPageStatusModal.tsx</t>
        </is>
      </c>
      <c r="E9" s="26" t="inlineStr">
        <is>
          <t>Completed</t>
        </is>
      </c>
    </row>
    <row r="10" ht="25.5" customHeight="1" s="30">
      <c r="A10" s="28" t="inlineStr">
        <is>
          <t>1cab85d</t>
        </is>
      </c>
      <c r="B10" s="28" t="inlineStr">
        <is>
          <t>Fri Aug 28 01:25:21 2026 +0530</t>
        </is>
      </c>
      <c r="C10" s="29" t="inlineStr">
        <is>
          <t>feat: implement no-extracted-records report modal and fix selective page retry filtering</t>
        </is>
      </c>
      <c r="D10" s="29" t="inlineStr">
        <is>
          <t>backend/app/api/v1/manuals.py
backend/app/services/extractor.py
frontend/src/components/manuals/NoExtractedRecordsModal.tsx
frontend/src/pages/ManualReview.tsx</t>
        </is>
      </c>
      <c r="E10" s="28" t="inlineStr">
        <is>
          <t>Completed</t>
        </is>
      </c>
    </row>
    <row r="11" ht="25.5" customHeight="1" s="30">
      <c r="A11" s="26" t="inlineStr">
        <is>
          <t>24223be</t>
        </is>
      </c>
      <c r="B11" s="26" t="inlineStr">
        <is>
          <t>Fri Aug 7 16:34:48 2026 +0530</t>
        </is>
      </c>
      <c r="C11" s="27" t="inlineStr">
        <is>
          <t>Enable inline editing of component name with auto-merge to vessel structure if name matches</t>
        </is>
      </c>
      <c r="D11" s="27" t="inlineStr">
        <is>
          <t>backend/app/api/v1/components.py
frontend/src/pages/ComponentReview.tsx</t>
        </is>
      </c>
      <c r="E11" s="26" t="inlineStr">
        <is>
          <t>Completed</t>
        </is>
      </c>
    </row>
    <row r="12" ht="25.5" customHeight="1" s="30">
      <c r="A12" s="28" t="inlineStr">
        <is>
          <t>b590ee7</t>
        </is>
      </c>
      <c r="B12" s="28" t="inlineStr">
        <is>
          <t>Fri Aug 7 18:18:04 2026 +0530</t>
        </is>
      </c>
      <c r="C12" s="29" t="inlineStr">
        <is>
          <t>Sync component classification path to match vessel tree path upon component renaming</t>
        </is>
      </c>
      <c r="D12" s="29" t="inlineStr">
        <is>
          <t>backend/app/api/v1/components.py
frontend/src/pages/ComponentReview.tsx</t>
        </is>
      </c>
      <c r="E12" s="28" t="inlineStr">
        <is>
          <t>Completed</t>
        </is>
      </c>
    </row>
    <row r="13" ht="25.5" customHeight="1" s="30">
      <c r="A13" s="26" t="inlineStr">
        <is>
          <t>53f06ba</t>
        </is>
      </c>
      <c r="B13" s="26" t="inlineStr">
        <is>
          <t>Fri Aug 7 18:22:32 2026 +0530</t>
        </is>
      </c>
      <c r="C13" s="27" t="inlineStr">
        <is>
          <t>Remap unmapped component itself to matched tree path and set is_unmapped to false directly instead of soft-deleting</t>
        </is>
      </c>
      <c r="D13" s="27" t="inlineStr">
        <is>
          <t>backend/app/api/v1/components.py</t>
        </is>
      </c>
      <c r="E13" s="26" t="inlineStr">
        <is>
          <t>Completed</t>
        </is>
      </c>
    </row>
    <row r="14" ht="25.5" customHeight="1" s="30">
      <c r="A14" s="28" t="inlineStr">
        <is>
          <t>eaa8b1d</t>
        </is>
      </c>
      <c r="B14" s="28" t="inlineStr">
        <is>
          <t>Fri Aug 7 18:37:43 2026 +0530</t>
        </is>
      </c>
      <c r="C14" s="29" t="inlineStr">
        <is>
          <t>Enable instant UI path updating in component name datalist autocomplete selection</t>
        </is>
      </c>
      <c r="D14" s="29" t="inlineStr">
        <is>
          <t>backend/app/schemas/component.py
frontend/src/pages/ComponentReview.tsx</t>
        </is>
      </c>
      <c r="E14" s="28" t="inlineStr">
        <is>
          <t>Completed</t>
        </is>
      </c>
    </row>
    <row r="15" ht="25.5" customHeight="1" s="30">
      <c r="A15" s="26" t="inlineStr">
        <is>
          <t>db1d58d</t>
        </is>
      </c>
      <c r="B15" s="26" t="inlineStr">
        <is>
          <t>Fri Jun 5 19:01:03 2026 +0530</t>
        </is>
      </c>
      <c r="C15" s="27" t="inlineStr">
        <is>
          <t>Fix: Changed the snip &amp; extract from using ai to ocr</t>
        </is>
      </c>
      <c r="D15" s="27" t="inlineStr">
        <is>
          <t>backend/app/services/extractor.py
frontend/src/components/manuals/ManualPagePreview.tsx</t>
        </is>
      </c>
      <c r="E15" s="26" t="inlineStr">
        <is>
          <t>Completed</t>
        </is>
      </c>
    </row>
    <row r="16" ht="25.5" customHeight="1" s="30">
      <c r="A16" s="28" t="inlineStr">
        <is>
          <t>883ae54</t>
        </is>
      </c>
      <c r="B16" s="28" t="inlineStr">
        <is>
          <t>Mon Jul 20 16:38:21 2026 +0530</t>
        </is>
      </c>
      <c r="C16" s="29" t="inlineStr">
        <is>
          <t>feat(frontend): show pending components count next to total components in Components page header</t>
        </is>
      </c>
      <c r="D16" s="29" t="inlineStr">
        <is>
          <t>frontend/src/pages/ComponentReview.tsx</t>
        </is>
      </c>
      <c r="E16" s="28" t="inlineStr">
        <is>
          <t>Completed</t>
        </is>
      </c>
    </row>
    <row r="17" ht="25.5" customHeight="1" s="30">
      <c r="A17" s="26" t="inlineStr">
        <is>
          <t>8947833</t>
        </is>
      </c>
      <c r="B17" s="26" t="inlineStr">
        <is>
          <t>Thu Aug 13 00:09:50 2026 +0530</t>
        </is>
      </c>
      <c r="C17" s="27" t="inlineStr">
        <is>
          <t>feat: add page-by-page PDF extraction status modal with page-specific retry</t>
        </is>
      </c>
      <c r="D17" s="27" t="inlineStr">
        <is>
          <t>backend/app/api/v1/ingestion.py
backend/app/services/extractor.py
frontend/src/components/manuals/ManualPageStatusModal.tsx
frontend/src/pages/ManualReview.tsx</t>
        </is>
      </c>
      <c r="E17" s="26" t="inlineStr">
        <is>
          <t>Completed</t>
        </is>
      </c>
    </row>
    <row r="18" ht="25.5" customHeight="1" s="30">
      <c r="A18" s="28" t="inlineStr">
        <is>
          <t>53fb7db</t>
        </is>
      </c>
      <c r="B18" s="28" t="inlineStr">
        <is>
          <t>Thu Aug 13 00:19:33 2026 +0530</t>
        </is>
      </c>
      <c r="C18" s="29" t="inlineStr">
        <is>
          <t>fix: omit empty non-targeted pages from extraction status modal</t>
        </is>
      </c>
      <c r="D18" s="29" t="inlineStr">
        <is>
          <t>backend/app/api/v1/ingestion.py
frontend/src/components/manuals/ManualPageStatusModal.tsx</t>
        </is>
      </c>
      <c r="E18" s="28" t="inlineStr">
        <is>
          <t>Completed</t>
        </is>
      </c>
    </row>
    <row r="19" ht="25.5" customHeight="1" s="30">
      <c r="A19" s="26" t="inlineStr">
        <is>
          <t>b15d85c</t>
        </is>
      </c>
      <c r="B19" s="26" t="inlineStr">
        <is>
          <t>Thu Aug 13 00:34:27 2026 +0530</t>
        </is>
      </c>
      <c r="C19" s="27" t="inlineStr">
        <is>
          <t>feat: add multi-tabbed manual extraction statistics modal and fix status modal alignments</t>
        </is>
      </c>
      <c r="D19" s="27" t="inlineStr">
        <is>
          <t>backend/app/api/v1/ingestion.py
frontend/src/components/manuals/ManualPageStatusModal.tsx
frontend/src/components/manuals/ManualsStatsModal.tsx
frontend/src/pages/ManualReview.tsx</t>
        </is>
      </c>
      <c r="E19" s="26" t="inlineStr">
        <is>
          <t>Completed</t>
        </is>
      </c>
    </row>
    <row r="20" ht="25.5" customHeight="1" s="30">
      <c r="A20" s="28" t="inlineStr">
        <is>
          <t>9916be6</t>
        </is>
      </c>
      <c r="B20" s="28" t="inlineStr">
        <is>
          <t>Thu Aug 13 00:42:07 2026 +0530</t>
        </is>
      </c>
      <c r="C20" s="29" t="inlineStr">
        <is>
          <t>feat: add date-wise activity analytics and calibrated LLM cost calculator tabs to stats modal</t>
        </is>
      </c>
      <c r="D20" s="29" t="inlineStr">
        <is>
          <t>backend/app/api/v1/ingestion.py
frontend/src/components/manuals/ManualsStatsModal.tsx</t>
        </is>
      </c>
      <c r="E20" s="28" t="inlineStr">
        <is>
          <t>Completed</t>
        </is>
      </c>
    </row>
    <row r="21" ht="25.5" customHeight="1" s="30">
      <c r="A21" s="26" t="inlineStr">
        <is>
          <t>a98b0a9</t>
        </is>
      </c>
      <c r="B21" s="26" t="inlineStr">
        <is>
          <t>Thu Aug 13 00:50:12 2026 +0530</t>
        </is>
      </c>
      <c r="C21" s="27" t="inlineStr">
        <is>
          <t>fix: restructure review page toolbar layout and add date filters to statistics modal</t>
        </is>
      </c>
      <c r="D21" s="27" t="inlineStr">
        <is>
          <t>frontend/src/components/manuals/ManualsStatsModal.tsx
frontend/src/pages/ManualReview.tsx</t>
        </is>
      </c>
      <c r="E21" s="26" t="inlineStr">
        <is>
          <t>Completed</t>
        </is>
      </c>
    </row>
    <row r="22" ht="25.5" customHeight="1" s="30">
      <c r="A22" s="28" t="inlineStr">
        <is>
          <t>ac6e7a4</t>
        </is>
      </c>
      <c r="B22" s="28" t="inlineStr">
        <is>
          <t>Thu Aug 13 00:55:23 2026 +0530</t>
        </is>
      </c>
      <c r="C22" s="29" t="inlineStr">
        <is>
          <t>feat: add vessel project filter selector to manuals statistics modal</t>
        </is>
      </c>
      <c r="D22" s="29" t="inlineStr">
        <is>
          <t>frontend/src/components/manuals/ManualsStatsModal.tsx</t>
        </is>
      </c>
      <c r="E22" s="28" t="inlineStr">
        <is>
          <t>Completed</t>
        </is>
      </c>
    </row>
    <row r="23" ht="25.5" customHeight="1" s="30">
      <c r="A23" s="26" t="inlineStr">
        <is>
          <t>cbad376</t>
        </is>
      </c>
      <c r="B23" s="26" t="inlineStr">
        <is>
          <t>Thu Aug 13 01:04:10 2026 +0530</t>
        </is>
      </c>
      <c r="C23" s="27" t="inlineStr">
        <is>
          <t>feat: add deleted manual filters and map all manual statistics dynamically in frontend</t>
        </is>
      </c>
      <c r="D23" s="27" t="inlineStr">
        <is>
          <t>backend/app/api/v1/ingestion.py
frontend/src/components/manuals/ManualsStatsModal.tsx</t>
        </is>
      </c>
      <c r="E23" s="26" t="inlineStr">
        <is>
          <t>Completed</t>
        </is>
      </c>
    </row>
    <row r="24" ht="25.5" customHeight="1" s="30">
      <c r="A24" s="28" t="inlineStr">
        <is>
          <t>400e4f1</t>
        </is>
      </c>
      <c r="B24" s="28" t="inlineStr">
        <is>
          <t>Tue Aug 18 04:06:21 2026 +0530</t>
        </is>
      </c>
      <c r="C24" s="29" t="inlineStr">
        <is>
          <t>fix: set default QC review status of imported standard library components to pending</t>
        </is>
      </c>
      <c r="D24" s="29" t="inlineStr">
        <is>
          <t>backend/app/services/vessel_library.py</t>
        </is>
      </c>
      <c r="E24" s="28" t="inlineStr">
        <is>
          <t>Completed</t>
        </is>
      </c>
    </row>
    <row r="25" ht="25.5" customHeight="1" s="30">
      <c r="A25" s="26" t="inlineStr">
        <is>
          <t>ea78d2c</t>
        </is>
      </c>
      <c r="B25" s="26" t="inlineStr">
        <is>
          <t>Tue Aug 25 08:11:26 2026 +0530</t>
        </is>
      </c>
      <c r="C25" s="27" t="inlineStr">
        <is>
          <t>feat: implement AI-driven component matching with token-overlap fallback</t>
        </is>
      </c>
      <c r="D25" s="27" t="inlineStr">
        <is>
          <t>backend/app/services/extractor.py</t>
        </is>
      </c>
      <c r="E25" s="26" t="inlineStr">
        <is>
          <t>Completed</t>
        </is>
      </c>
    </row>
    <row r="26" ht="25.5" customHeight="1" s="30">
      <c r="A26" s="28" t="inlineStr">
        <is>
          <t>c3c62f4</t>
        </is>
      </c>
      <c r="B26" s="28" t="inlineStr">
        <is>
          <t>Tue Aug 25 17:13:34 2026 +0530</t>
        </is>
      </c>
      <c r="C26" s="29" t="inlineStr">
        <is>
          <t>fix: resolve Anthropic model ID in AI component matcher to match configured CLAUDE_MODEL_ID</t>
        </is>
      </c>
      <c r="D26" s="29" t="inlineStr">
        <is>
          <t>backend/app/services/extractor.py</t>
        </is>
      </c>
      <c r="E26" s="28" t="inlineStr">
        <is>
          <t>Completed</t>
        </is>
      </c>
    </row>
    <row r="27" ht="25.5" customHeight="1" s="30">
      <c r="A27" s="26" t="inlineStr">
        <is>
          <t>6045c02</t>
        </is>
      </c>
      <c r="B27" s="26" t="inlineStr">
        <is>
          <t>Tue Jul 21 14:04:10 2026 +0530</t>
        </is>
      </c>
      <c r="C27" s="27" t="inlineStr">
        <is>
          <t>Feature: add manual components panel, page jump navigation, and Add Component modal in standalone manual preview tab</t>
        </is>
      </c>
      <c r="D27" s="27" t="inlineStr">
        <is>
          <t>frontend/src/components/components/AddComponentModal.tsx
frontend/src/pages/ComponentReview.tsx
frontend/src/pages/ManualStandalonePreview.tsx</t>
        </is>
      </c>
      <c r="E27" s="26" t="inlineStr">
        <is>
          <t>Completed</t>
        </is>
      </c>
    </row>
    <row r="28" ht="25.5" customHeight="1" s="30">
      <c r="A28" s="28" t="inlineStr">
        <is>
          <t>5066b24</t>
        </is>
      </c>
      <c r="B28" s="28" t="inlineStr">
        <is>
          <t>Tue Jul 21 16:03:18 2026 +0530</t>
        </is>
      </c>
      <c r="C28" s="29" t="inlineStr">
        <is>
          <t>Feature: add click and drag PDF panning, fix components pending QC filter normalization, and fix manuals table height with sticky header</t>
        </is>
      </c>
      <c r="D28" s="29" t="inlineStr">
        <is>
          <t>backend/app/api/v1/components.py
frontend/src/components/manuals/ManualPagePreview.tsx
frontend/src/pages/ManualReview.tsx</t>
        </is>
      </c>
      <c r="E28" s="28" t="inlineStr">
        <is>
          <t>Completed</t>
        </is>
      </c>
    </row>
    <row r="29" ht="25.5" customHeight="1" s="30">
      <c r="A29" s="26" t="inlineStr">
        <is>
          <t>0229368</t>
        </is>
      </c>
      <c r="B29" s="26" t="inlineStr">
        <is>
          <t>Tue Jul 21 16:51:15 2026 +0530</t>
        </is>
      </c>
      <c r="C29" s="27" t="inlineStr">
        <is>
          <t>Feature: add up and down click-drag panning and mouse wheel focal zoom centered at cursor in manual preview</t>
        </is>
      </c>
      <c r="D29" s="27" t="inlineStr">
        <is>
          <t>frontend/src/components/manuals/ManualPagePreview.tsx</t>
        </is>
      </c>
      <c r="E29" s="26" t="inlineStr">
        <is>
          <t>Completed</t>
        </is>
      </c>
    </row>
    <row r="30" ht="25.5" customHeight="1" s="30">
      <c r="A30" s="28" t="inlineStr">
        <is>
          <t>66b1272</t>
        </is>
      </c>
      <c r="B30" s="28" t="inlineStr">
        <is>
          <t>Tue Jul 21 17:32:36 2026 +0530</t>
        </is>
      </c>
      <c r="C30" s="29" t="inlineStr">
        <is>
          <t>Feature: render bulk action buttons persistently in fixed slots to prevent layout shifting on row selection</t>
        </is>
      </c>
      <c r="D30" s="29" t="inlineStr">
        <is>
          <t>frontend/src/pages/ComponentReview.tsx</t>
        </is>
      </c>
      <c r="E30" s="28" t="inlineStr">
        <is>
          <t>Completed</t>
        </is>
      </c>
    </row>
    <row r="31" ht="25.5" customHeight="1" s="30">
      <c r="A31" s="26" t="inlineStr">
        <is>
          <t>4ab3db8</t>
        </is>
      </c>
      <c r="B31" s="26" t="inlineStr">
        <is>
          <t>Tue Jun 2 13:17:30 2026 +0530</t>
        </is>
      </c>
      <c r="C31" s="27" t="inlineStr">
        <is>
          <t>Dilip: Previous next and zoom for manuals preview</t>
        </is>
      </c>
      <c r="D31" s="27" t="inlineStr">
        <is>
          <t>frontend/src/components/manuals/ManualPagePreview.tsx</t>
        </is>
      </c>
      <c r="E31" s="26" t="inlineStr">
        <is>
          <t>Completed</t>
        </is>
      </c>
    </row>
    <row r="32" ht="25.5" customHeight="1" s="30">
      <c r="A32" s="28" t="inlineStr">
        <is>
          <t>cb8f142</t>
        </is>
      </c>
      <c r="B32" s="28" t="inlineStr">
        <is>
          <t>Tue Jun 2 14:18:59 2026 +0530</t>
        </is>
      </c>
      <c r="C32" s="29" t="inlineStr">
        <is>
          <t>Dilip: Side menu toggle feature, Layout horizontal split resize option in component page</t>
        </is>
      </c>
      <c r="D32" s="29" t="inlineStr">
        <is>
          <t>frontend/src/components/Layout.tsx
frontend/src/components/layout/ResizableRowSplitView.tsx
frontend/src/pages/ComponentReview.tsx</t>
        </is>
      </c>
      <c r="E32" s="28" t="inlineStr">
        <is>
          <t>Completed</t>
        </is>
      </c>
    </row>
    <row r="33" ht="25.5" customHeight="1" s="30">
      <c r="A33" s="26" t="inlineStr">
        <is>
          <t>a7455ff</t>
        </is>
      </c>
      <c r="B33" s="26" t="inlineStr">
        <is>
          <t>Tue Jun 2 17:25:32 2026 +0530</t>
        </is>
      </c>
      <c r="C33" s="27" t="inlineStr">
        <is>
          <t>Dilip: Manual preview as seperate modal</t>
        </is>
      </c>
      <c r="D33" s="27" t="inlineStr">
        <is>
          <t>frontend/src/components/manuals/ManualPagePreview.tsx</t>
        </is>
      </c>
      <c r="E33" s="26" t="inlineStr">
        <is>
          <t>Completed</t>
        </is>
      </c>
    </row>
    <row r="34" ht="25.5" customHeight="1" s="30">
      <c r="A34" s="28" t="inlineStr">
        <is>
          <t>0d2f7e4</t>
        </is>
      </c>
      <c r="B34" s="28" t="inlineStr">
        <is>
          <t>Tue Jun 2 17:38:42 2026 +0530</t>
        </is>
      </c>
      <c r="C34" s="29" t="inlineStr">
        <is>
          <t>Dilip: modal view of the manual preview in components page fix changes</t>
        </is>
      </c>
      <c r="D34" s="29" t="inlineStr">
        <is>
          <t>frontend/src/pages/ComponentReview.tsx</t>
        </is>
      </c>
      <c r="E34" s="28" t="inlineStr">
        <is>
          <t>Completed</t>
        </is>
      </c>
    </row>
    <row r="35" ht="25.5" customHeight="1" s="30">
      <c r="A35" s="26" t="inlineStr">
        <is>
          <t>9379f4b</t>
        </is>
      </c>
      <c r="B35" s="26" t="inlineStr">
        <is>
          <t>Wed Aug 19 19:52:56 2026 +0530</t>
        </is>
      </c>
      <c r="C35" s="27" t="inlineStr">
        <is>
          <t>fix: resolve component name from components table in startup backfill instead of attribute lookup</t>
        </is>
      </c>
      <c r="D35" s="27" t="inlineStr">
        <is>
          <t>backend/app/main.py</t>
        </is>
      </c>
      <c r="E35" s="26" t="inlineStr">
        <is>
          <t>Completed</t>
        </is>
      </c>
    </row>
    <row r="36" ht="25.5" customHeight="1" s="30">
      <c r="A36" s="28" t="inlineStr">
        <is>
          <t>7a52ff6</t>
        </is>
      </c>
      <c r="B36" s="28" t="inlineStr">
        <is>
          <t>Wed Aug 26 09:37:03 2026 +0530</t>
        </is>
      </c>
      <c r="C36" s="29" t="inlineStr">
        <is>
          <t>feat: add Stop Extraction button in the page status details modal</t>
        </is>
      </c>
      <c r="D36" s="29" t="inlineStr">
        <is>
          <t>frontend/src/components/manuals/ManualPageStatusModal.tsx</t>
        </is>
      </c>
      <c r="E36" s="28" t="inlineStr">
        <is>
          <t>Completed</t>
        </is>
      </c>
    </row>
    <row r="37" ht="25.5" customHeight="1" s="30">
      <c r="A37" s="26" t="inlineStr">
        <is>
          <t>2184a77</t>
        </is>
      </c>
      <c r="B37" s="26" t="inlineStr">
        <is>
          <t>Wed Jun 10 14:56:44 2026 +0530</t>
        </is>
      </c>
      <c r="C37" s="27" t="inlineStr">
        <is>
          <t>Update: Component and Dashboard pages Update</t>
        </is>
      </c>
      <c r="D37" s="27" t="inlineStr">
        <is>
          <t>frontend/src/pages/ComponentReview.tsx
frontend/src/pages/Dashboard.tsx</t>
        </is>
      </c>
      <c r="E37" s="26" t="inlineStr">
        <is>
          <t>Completed</t>
        </is>
      </c>
    </row>
    <row r="38" ht="25.5" customHeight="1" s="30">
      <c r="A38" s="28" t="inlineStr">
        <is>
          <t>8c63fc4</t>
        </is>
      </c>
      <c r="B38" s="28" t="inlineStr">
        <is>
          <t>Wed Jun 3 16:54:20 2026 +0530</t>
        </is>
      </c>
      <c r="C38" s="29" t="inlineStr">
        <is>
          <t>Dilip: fixing the toolbar of manual preview page</t>
        </is>
      </c>
      <c r="D38" s="29" t="inlineStr">
        <is>
          <t>frontend/src/components/manuals/ManualPagePreview.tsx</t>
        </is>
      </c>
      <c r="E38" s="28" t="inlineStr">
        <is>
          <t>Completed</t>
        </is>
      </c>
    </row>
    <row r="39" ht="25.5" customHeight="1" s="30">
      <c r="A39" s="26" t="inlineStr">
        <is>
          <t>2b02374</t>
        </is>
      </c>
      <c r="B39" s="26" t="inlineStr">
        <is>
          <t>Wed Jun 3 17:08:45 2026 +0530</t>
        </is>
      </c>
      <c r="C39" s="27" t="inlineStr">
        <is>
          <t>Dilip: Modification to the visibility of headers on manual preview pages.</t>
        </is>
      </c>
      <c r="D39" s="27" t="inlineStr">
        <is>
          <t>frontend/src/components/manuals/ManualPagePreview.tsx
frontend/src/pages/ComponentReview.tsx</t>
        </is>
      </c>
      <c r="E39" s="26" t="inlineStr">
        <is>
          <t>Completed</t>
        </is>
      </c>
    </row>
    <row r="40">
      <c r="A40" s="0" t="inlineStr">
        <is>
          <t>a507a86</t>
        </is>
      </c>
      <c r="B40" s="0" t="inlineStr">
        <is>
          <t>Fri Oct 09 13:00:07 2026 +0530</t>
        </is>
      </c>
      <c r="C40" s="0" t="inlineStr">
        <is>
          <t>fix(export): resolve 500 error in components and jobs QC export endpoints by initializing BytesIO buffer</t>
        </is>
      </c>
      <c r="D40" s="0" t="inlineStr">
        <is>
          <t>backend/app/api/v1/components.py
backend/app/api/v1/jobs.py</t>
        </is>
      </c>
      <c r="E40" s="0" t="inlineStr">
        <is>
          <t>Completed</t>
        </is>
      </c>
    </row>
    <row r="41">
      <c r="A41" s="0" t="inlineStr">
        <is>
          <t>31c049a</t>
        </is>
      </c>
      <c r="B41" s="0" t="inlineStr">
        <is>
          <t>Tue Oct 06 09:28:02 2026 +0530</t>
        </is>
      </c>
      <c r="C41" s="0" t="inlineStr">
        <is>
          <t>fix(workspace): capture-phase keydown listener and native DOM click simulation for instant tab shortcuts</t>
        </is>
      </c>
      <c r="D41" s="0" t="inlineStr">
        <is>
          <t>frontend/src/components/layout/WorkspaceTabBar.tsx</t>
        </is>
      </c>
      <c r="E41" s="0" t="inlineStr">
        <is>
          <t>Completed</t>
        </is>
      </c>
    </row>
    <row r="42">
      <c r="A42" s="0" t="inlineStr">
        <is>
          <t>1cdfede</t>
        </is>
      </c>
      <c r="B42" s="0" t="inlineStr">
        <is>
          <t>Tue Oct 06 09:18:11 2026 +0530</t>
        </is>
      </c>
      <c r="C42" s="0" t="inlineStr">
        <is>
          <t>fix(workspace): trigger native DOM click simulation for instant shortcut tab switching</t>
        </is>
      </c>
      <c r="D42" s="0" t="inlineStr">
        <is>
          <t>frontend/src/components/layout/WorkspaceTabBar.tsx</t>
        </is>
      </c>
      <c r="E42" s="0" t="inlineStr">
        <is>
          <t>Completed</t>
        </is>
      </c>
    </row>
    <row r="43">
      <c r="A43" s="0" t="inlineStr">
        <is>
          <t>9352488</t>
        </is>
      </c>
      <c r="B43" s="0" t="inlineStr">
        <is>
          <t>Tue Oct 06 09:08:53 2026 +0530</t>
        </is>
      </c>
      <c r="C43" s="0" t="inlineStr">
        <is>
          <t>feat(workspace): add Alt 1-9 tab switching, cycling shortcuts, Alt+W, Alt+T, and tab context menu</t>
        </is>
      </c>
      <c r="D43" s="0" t="inlineStr">
        <is>
          <t>frontend/src/components/layout/WorkspaceTabBar.tsx
frontend/src/store/tabStore.ts</t>
        </is>
      </c>
      <c r="E43" s="0" t="inlineStr">
        <is>
          <t>Completed</t>
        </is>
      </c>
    </row>
    <row r="44">
      <c r="A44" s="0" t="inlineStr">
        <is>
          <t>ae65c6c</t>
        </is>
      </c>
      <c r="B44" s="0" t="inlineStr">
        <is>
          <t>Tue Sep 29 13:31:13 2026 +0530</t>
        </is>
      </c>
      <c r="C44" s="0" t="inlineStr">
        <is>
          <t>feat(workspace): implement multi-tab navigation with persistent breadcrumbs and session recovery</t>
        </is>
      </c>
      <c r="D44" s="0" t="inlineStr">
        <is>
          <t>frontend/src/components/Layout.tsx
frontend/src/components/layout/WorkspaceBreadcrumbs.tsx
frontend/src/components/layout/WorkspaceTabBar.tsx
frontend/src/hooks/useAuth.ts
frontend/src/store/tabStore.ts</t>
        </is>
      </c>
      <c r="E44" s="0" t="inlineStr">
        <is>
          <t>Completed</t>
        </is>
      </c>
    </row>
    <row r="45">
      <c r="A45" s="0" t="inlineStr">
        <is>
          <t>b0c64ec</t>
        </is>
      </c>
      <c r="B45" s="0" t="inlineStr">
        <is>
          <t>Tue Sep 22 22:42:28 2026 +0530</t>
        </is>
      </c>
      <c r="C45" s="0" t="inlineStr">
        <is>
          <t>feat(snip-extract): add searchable filter dropdown for PDF manual source in Jobs and Spares</t>
        </is>
      </c>
      <c r="D45" s="0" t="inlineStr">
        <is>
          <t>frontend/src/components/SearchableSelect.tsx
frontend/src/components/jobs/SnipExtractJobsModal.tsx
frontend/src/components/spares/SnipExtractModal.tsx</t>
        </is>
      </c>
      <c r="E45" s="0" t="inlineStr">
        <is>
          <t>Completed</t>
        </is>
      </c>
    </row>
    <row r="46">
      <c r="A46" s="0" t="inlineStr">
        <is>
          <t>5c9dd9b</t>
        </is>
      </c>
      <c r="B46" s="0" t="inlineStr">
        <is>
          <t>Mon Sep 21 16:10:50 2026 +0530</t>
        </is>
      </c>
      <c r="C46" s="0" t="inlineStr">
        <is>
          <t>feat(preview): add PyMuPDF rendering, disk caching, progress bar, and user-cancellable loading without timeout</t>
        </is>
      </c>
      <c r="D46" s="0" t="inlineStr">
        <is>
          <t>backend/app/api/v1/manuals.py
backend/requirements.txt
frontend/src/components/jobs/SnipExtractJobsModal.tsx
frontend/src/components/manuals/ManualPagePreview.tsx
frontend/src/components/spares/SnipExtractModal.tsx
requirements.txt</t>
        </is>
      </c>
      <c r="E46" s="0" t="inlineStr">
        <is>
          <t>Completed</t>
        </is>
      </c>
    </row>
    <row r="47">
      <c r="A47" s="0" t="inlineStr">
        <is>
          <t>a2fd561</t>
        </is>
      </c>
      <c r="B47" s="0" t="inlineStr">
        <is>
          <t>Thu Sep 10 03:05:59 2026 +0530</t>
        </is>
      </c>
      <c r="C47" s="0" t="inlineStr">
        <is>
          <t>fix: include manual name in QC export filename when source manual filter is applied</t>
        </is>
      </c>
      <c r="D47" s="0" t="inlineStr">
        <is>
          <t>backend/app/api/v1/components.py
backend/app/api/v1/jobs.py
backend/app/api/v1/spares.py</t>
        </is>
      </c>
      <c r="E47" s="0" t="inlineStr">
        <is>
          <t>Completed</t>
        </is>
      </c>
    </row>
    <row r="48">
      <c r="A48" s="0" t="inlineStr">
        <is>
          <t>a33be48</t>
        </is>
      </c>
      <c r="B48" s="0" t="inlineStr">
        <is>
          <t>Thu Sep 10 02:57:49 2026 +0530</t>
        </is>
      </c>
      <c r="C48" s="0" t="inlineStr">
        <is>
          <t>fix: enforce user-entered page references strictly and clear auto-screened reference data</t>
        </is>
      </c>
      <c r="D48" s="0" t="inlineStr">
        <is>
          <t>app_changelog_pm.xlsx
backend/app/api/v1/ingestion.py
backend/app/api/v1/manuals.py
backend/app/services/classifier.py
chat_history_export.csv
code_changes_history.csv
code_changes_history.xlsx
frontend/src/components/manuals/ExtractionConfirmationModal.tsx
page_changes_git_commits.xlsx
page_changes_pm.xlsx
page_changes_pm_full.xlsx</t>
        </is>
      </c>
      <c r="E48" s="0" t="inlineStr">
        <is>
          <t>Completed</t>
        </is>
      </c>
    </row>
    <row r="49">
      <c r="A49" s="0" t="inlineStr">
        <is>
          <t>7599321</t>
        </is>
      </c>
      <c r="B49" s="0" t="inlineStr">
        <is>
          <t>Tue Sep 01 12:52:13 2026 +0530</t>
        </is>
      </c>
      <c r="C49" s="0" t="inlineStr">
        <is>
          <t>perf: optimize openpyxl export streams for 5x faster QC export generation</t>
        </is>
      </c>
      <c r="D49" s="0" t="inlineStr">
        <is>
          <t>backend/app/api/v1/components.py
backend/app/api/v1/jobs.py
backend/app/api/v1/spares.py</t>
        </is>
      </c>
      <c r="E49" s="0" t="inlineStr">
        <is>
          <t>Completed</t>
        </is>
      </c>
    </row>
    <row r="50">
      <c r="A50" s="0" t="inlineStr">
        <is>
          <t>d6c3cd4</t>
        </is>
      </c>
      <c r="B50" s="0" t="inlineStr">
        <is>
          <t>Tue Sep 01 12:22:34 2026 +0530</t>
        </is>
      </c>
      <c r="C50" s="0" t="inlineStr">
        <is>
          <t>feat: support filtered QC exports, add progress loader modal, and set QC Export button text to black</t>
        </is>
      </c>
      <c r="D50" s="0" t="inlineStr">
        <is>
          <t>backend/app/api/v1/components.py
backend/app/api/v1/jobs.py
backend/app/api/v1/spares.py
frontend/src/components/common/ExportProgressModal.tsx
frontend/src/pages/ComponentReview.tsx
frontend/src/pages/JobsReview.tsx
frontend/src/pages/SparesReview.tsx</t>
        </is>
      </c>
      <c r="E50" s="0" t="inlineStr">
        <is>
          <t>Completed</t>
        </is>
      </c>
    </row>
    <row r="51">
      <c r="A51" s="0" t="inlineStr">
        <is>
          <t>634f831</t>
        </is>
      </c>
      <c r="B51" s="0" t="inlineStr">
        <is>
          <t>Mon Aug 31 23:14:30 2026 +0530</t>
        </is>
      </c>
      <c r="C51" s="0" t="inlineStr">
        <is>
          <t>feat: pin selected manuals at the top of confirmation modal and add category/selection filters</t>
        </is>
      </c>
      <c r="D51" s="0" t="inlineStr">
        <is>
          <t>frontend/src/components/manuals/ExtractionConfirmationModal.tsx</t>
        </is>
      </c>
      <c r="E51" s="0" t="inlineStr">
        <is>
          <t>Completed</t>
        </is>
      </c>
    </row>
    <row r="52">
      <c r="A52" s="0" t="inlineStr">
        <is>
          <t>f6da43b</t>
        </is>
      </c>
      <c r="B52" s="0" t="inlineStr">
        <is>
          <t>Mon Aug 31 19:32:36 2026 +0530</t>
        </is>
      </c>
      <c r="C52" s="0" t="inlineStr">
        <is>
          <t>feat: add batch extraction confirmation modal and integrate premium FilterableDropdown for jobs component selection</t>
        </is>
      </c>
      <c r="D52" s="0" t="inlineStr">
        <is>
          <t>frontend/src/components/common/FilterableDropdown.tsx
frontend/src/components/manuals/ExtractionConfirmationModal.tsx
frontend/src/pages/JobsReview.tsx
frontend/src/pages/ManualReview.tsx</t>
        </is>
      </c>
      <c r="E52" s="0" t="inlineStr">
        <is>
          <t>Completed</t>
        </is>
      </c>
    </row>
    <row r="53">
      <c r="A53" s="0" t="inlineStr">
        <is>
          <t>c47a416</t>
        </is>
      </c>
      <c r="B53" s="0" t="inlineStr">
        <is>
          <t>Mon Aug 31 15:07:09 2026 +0530</t>
        </is>
      </c>
      <c r="C53" s="0" t="inlineStr">
        <is>
          <t>feat: add 4-minute page-level extraction timeout and update page status modal timeout to 4 minutes</t>
        </is>
      </c>
      <c r="D53" s="0" t="inlineStr">
        <is>
          <t>backend/app/services/extractor.py
frontend/src/components/manuals/ManualPageStatusModal.tsx</t>
        </is>
      </c>
      <c r="E53" s="0" t="inlineStr">
        <is>
          <t>Completed</t>
        </is>
      </c>
    </row>
    <row r="54">
      <c r="A54" s="0" t="inlineStr">
        <is>
          <t>6334ab3</t>
        </is>
      </c>
      <c r="B54" s="0" t="inlineStr">
        <is>
          <t>Mon Aug 31 15:00:35 2026 +0530</t>
        </is>
      </c>
      <c r="C54" s="0" t="inlineStr">
        <is>
          <t>fix: resolve stale extraction progress tracking state on completion/failure and add 2m timeout to page-status request</t>
        </is>
      </c>
      <c r="D54" s="0" t="inlineStr">
        <is>
          <t>backend/app/services/extractor.py
frontend/src/components/manuals/ManualPageStatusModal.tsx</t>
        </is>
      </c>
      <c r="E54" s="0" t="inlineStr">
        <is>
          <t>Completed</t>
        </is>
      </c>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Jobs Page</t>
        </is>
      </c>
    </row>
    <row r="2" ht="18" customHeight="1" s="30">
      <c r="A2" s="25" t="inlineStr">
        <is>
          <t>Complete repository commits targeting features and files on the Jobs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f3978b9</t>
        </is>
      </c>
      <c r="B5" s="26" t="inlineStr">
        <is>
          <t>Fri Aug 7 17:01:20 2026 +0530</t>
        </is>
      </c>
      <c r="C5" s="27" t="inlineStr">
        <is>
          <t>Replace Jobs page frequency filter select element with SearchableSelect</t>
        </is>
      </c>
      <c r="D5" s="27" t="inlineStr">
        <is>
          <t>frontend/src/pages/JobsReview.tsx</t>
        </is>
      </c>
      <c r="E5" s="26" t="inlineStr">
        <is>
          <t>Completed</t>
        </is>
      </c>
    </row>
    <row r="6" ht="25.5" customHeight="1" s="30">
      <c r="A6" s="28" t="inlineStr">
        <is>
          <t>d3119c3</t>
        </is>
      </c>
      <c r="B6" s="28" t="inlineStr">
        <is>
          <t>Fri Aug 7 17:05:26 2026 +0530</t>
        </is>
      </c>
      <c r="C6" s="29" t="inlineStr">
        <is>
          <t>Construct SearchableSelect frequency options dynamically from API of unique vessel job frequencies</t>
        </is>
      </c>
      <c r="D6" s="29" t="inlineStr">
        <is>
          <t>backend/app/api/v1/jobs.py
frontend/src/pages/JobsReview.tsx</t>
        </is>
      </c>
      <c r="E6" s="28" t="inlineStr">
        <is>
          <t>Completed</t>
        </is>
      </c>
    </row>
    <row r="7" ht="25.5" customHeight="1" s="30">
      <c r="A7" s="26" t="inlineStr">
        <is>
          <t>9f6fc7d</t>
        </is>
      </c>
      <c r="B7" s="26" t="inlineStr">
        <is>
          <t>Fri Aug 7 17:10:35 2026 +0530</t>
        </is>
      </c>
      <c r="C7" s="27" t="inlineStr">
        <is>
          <t>Include null frequency_type entries in distinct frequencies dropdown and filter by frequency value only</t>
        </is>
      </c>
      <c r="D7" s="27" t="inlineStr">
        <is>
          <t>backend/app/api/v1/jobs.py
frontend/src/pages/JobsReview.tsx</t>
        </is>
      </c>
      <c r="E7" s="26" t="inlineStr">
        <is>
          <t>Completed</t>
        </is>
      </c>
    </row>
    <row r="8" ht="25.5" customHeight="1" s="30">
      <c r="A8" s="28" t="inlineStr">
        <is>
          <t>2161b13</t>
        </is>
      </c>
      <c r="B8" s="28" t="inlineStr">
        <is>
          <t>Fri Aug 7 20:47:11 2026 +0530</t>
        </is>
      </c>
      <c r="C8" s="29" t="inlineStr">
        <is>
          <t>Fix Form NameError by importing Form at the top level of jobs.py</t>
        </is>
      </c>
      <c r="D8" s="29" t="inlineStr">
        <is>
          <t>backend/app/api/v1/jobs.py</t>
        </is>
      </c>
      <c r="E8" s="28" t="inlineStr">
        <is>
          <t>Completed</t>
        </is>
      </c>
    </row>
    <row r="9" ht="25.5" customHeight="1" s="30">
      <c r="A9" s="26" t="inlineStr">
        <is>
          <t>7b238cf</t>
        </is>
      </c>
      <c r="B9" s="26" t="inlineStr">
        <is>
          <t>Fri Aug 7 21:02:22 2026 +0530</t>
        </is>
      </c>
      <c r="C9" s="27" t="inlineStr">
        <is>
          <t>Fix manual page loading API route path in SnipExtractJobsModal</t>
        </is>
      </c>
      <c r="D9" s="27" t="inlineStr">
        <is>
          <t>frontend/src/components/jobs/SnipExtractJobsModal.tsx</t>
        </is>
      </c>
      <c r="E9" s="26" t="inlineStr">
        <is>
          <t>Completed</t>
        </is>
      </c>
    </row>
    <row r="10" ht="25.5" customHeight="1" s="30">
      <c r="A10" s="28" t="inlineStr">
        <is>
          <t>fbcc826</t>
        </is>
      </c>
      <c r="B10" s="28" t="inlineStr">
        <is>
          <t>Fri Jul 31 15:43:53 2026 +0530</t>
        </is>
      </c>
      <c r="C10" s="29" t="inlineStr">
        <is>
          <t>fix: refactor seed_standard_jobs.py to run directly via python scripts/seed_standard_jobs.py and avoid namespace module lookup issue on Railway</t>
        </is>
      </c>
      <c r="D10" s="29" t="inlineStr">
        <is>
          <t>backend/scripts/railway_start.sh
backend/scripts/seed_standard_jobs.py</t>
        </is>
      </c>
      <c r="E10" s="28" t="inlineStr">
        <is>
          <t>Completed</t>
        </is>
      </c>
    </row>
    <row r="11" ht="25.5" customHeight="1" s="30">
      <c r="A11" s="26" t="inlineStr">
        <is>
          <t>7a04ac3</t>
        </is>
      </c>
      <c r="B11" s="26" t="inlineStr">
        <is>
          <t>Fri Jun 5 18:29:45 2026 +0530</t>
        </is>
      </c>
      <c r="C11" s="27" t="inlineStr">
        <is>
          <t>Dilip: Jobs page snip and extract option in manual preview and the edit job is shown as the modal instead on split pane.</t>
        </is>
      </c>
      <c r="D11" s="27" t="inlineStr">
        <is>
          <t>backend/app/api/v1/jobs.py
frontend/src/components/manuals/ManualPagePreview.tsx
frontend/src/pages/JobsReview.tsx
frontend/src/pages/ManualStandalonePreview.tsx</t>
        </is>
      </c>
      <c r="E11" s="26" t="inlineStr">
        <is>
          <t>Completed</t>
        </is>
      </c>
    </row>
    <row r="12" ht="25.5" customHeight="1" s="30">
      <c r="A12" s="28" t="inlineStr">
        <is>
          <t>1b2f627</t>
        </is>
      </c>
      <c r="B12" s="28" t="inlineStr">
        <is>
          <t>Fri Jun 5 18:46:37 2026 +0530</t>
        </is>
      </c>
      <c r="C12" s="29" t="inlineStr">
        <is>
          <t>Fix: Modal not scrollable and use antropic key for the snip and extract feature.</t>
        </is>
      </c>
      <c r="D12" s="29" t="inlineStr">
        <is>
          <t>backend/app/services/extractor.py
frontend/src/components/manuals/ManualPagePreview.tsx
frontend/src/pages/JobsReview.tsx</t>
        </is>
      </c>
      <c r="E12" s="28" t="inlineStr">
        <is>
          <t>Completed</t>
        </is>
      </c>
    </row>
    <row r="13" ht="25.5" customHeight="1" s="30">
      <c r="A13" s="26" t="inlineStr">
        <is>
          <t>b103e11</t>
        </is>
      </c>
      <c r="B13" s="26" t="inlineStr">
        <is>
          <t>Fri Jun 5 19:36:03 2026 +0530</t>
        </is>
      </c>
      <c r="C13" s="27" t="inlineStr">
        <is>
          <t>Fix: jobs page issue fixes for save changes edit modal</t>
        </is>
      </c>
      <c r="D13" s="27" t="inlineStr">
        <is>
          <t>frontend/src/pages/JobsReview.tsx</t>
        </is>
      </c>
      <c r="E13" s="26" t="inlineStr">
        <is>
          <t>Completed</t>
        </is>
      </c>
    </row>
    <row r="14" ht="25.5" customHeight="1" s="30">
      <c r="A14" s="28" t="inlineStr">
        <is>
          <t>8b546d5</t>
        </is>
      </c>
      <c r="B14" s="28" t="inlineStr">
        <is>
          <t>Mon Jun 8 14:56:53 2026 +0530</t>
        </is>
      </c>
      <c r="C14" s="29" t="inlineStr">
        <is>
          <t>Dilip: Changes as requested by Karthik</t>
        </is>
      </c>
      <c r="D14" s="29" t="inlineStr">
        <is>
          <t>frontend/src/pages/JobsReview.tsx</t>
        </is>
      </c>
      <c r="E14" s="28" t="inlineStr">
        <is>
          <t>Completed</t>
        </is>
      </c>
    </row>
    <row r="15" ht="25.5" customHeight="1" s="30">
      <c r="A15" s="26" t="inlineStr">
        <is>
          <t>556e239</t>
        </is>
      </c>
      <c r="B15" s="26" t="inlineStr">
        <is>
          <t>Mon Jun 8 15:39:41 2026 +0530</t>
        </is>
      </c>
      <c r="C15" s="27" t="inlineStr">
        <is>
          <t>Dilip: Clicking and Double clicking the jobs row will selected and bring up edit modal.</t>
        </is>
      </c>
      <c r="D15" s="27" t="inlineStr">
        <is>
          <t>frontend/src/pages/JobsReview.tsx</t>
        </is>
      </c>
      <c r="E15" s="26" t="inlineStr">
        <is>
          <t>Completed</t>
        </is>
      </c>
    </row>
    <row r="16" ht="25.5" customHeight="1" s="30">
      <c r="A16" s="28" t="inlineStr">
        <is>
          <t>00ee7b6</t>
        </is>
      </c>
      <c r="B16" s="28" t="inlineStr">
        <is>
          <t>Thu Aug 20 15:04:25 2026 +0530</t>
        </is>
      </c>
      <c r="C16" s="29" t="inlineStr">
        <is>
          <t>feat: restore original job titles and disable automatic startup backfill migration</t>
        </is>
      </c>
      <c r="D16" s="29" t="inlineStr">
        <is>
          <t>backend/app/main.py
backend/scripts/restore_job_names.py</t>
        </is>
      </c>
      <c r="E16" s="28" t="inlineStr">
        <is>
          <t>Completed</t>
        </is>
      </c>
    </row>
    <row r="17" ht="25.5" customHeight="1" s="30">
      <c r="A17" s="26" t="inlineStr">
        <is>
          <t>45bf253</t>
        </is>
      </c>
      <c r="B17" s="26" t="inlineStr">
        <is>
          <t>Thu Aug 20 15:10:44 2026 +0530</t>
        </is>
      </c>
      <c r="C17" s="27" t="inlineStr">
        <is>
          <t>feat: enable automatic startup restore of original job titles</t>
        </is>
      </c>
      <c r="D17" s="27" t="inlineStr">
        <is>
          <t>backend/app/main.py</t>
        </is>
      </c>
      <c r="E17" s="26" t="inlineStr">
        <is>
          <t>Completed</t>
        </is>
      </c>
    </row>
    <row r="18" ht="25.5" customHeight="1" s="30">
      <c r="A18" s="28" t="inlineStr">
        <is>
          <t>80f2908</t>
        </is>
      </c>
      <c r="B18" s="28" t="inlineStr">
        <is>
          <t>Thu Aug 20 15:21:21 2026 +0530</t>
        </is>
      </c>
      <c r="C18" s="29" t="inlineStr">
        <is>
          <t>fix: resolve repeated source references footer in job description by using regex stripping and clean database</t>
        </is>
      </c>
      <c r="D18" s="29" t="inlineStr">
        <is>
          <t>backend/app/main.py
backend/app/services/job_naming.py
backend/scripts/clean_repeated_descriptions.py</t>
        </is>
      </c>
      <c r="E18" s="28" t="inlineStr">
        <is>
          <t>Completed</t>
        </is>
      </c>
    </row>
    <row r="19" ht="25.5" customHeight="1" s="30">
      <c r="A19" s="26" t="inlineStr">
        <is>
          <t>6106c09</t>
        </is>
      </c>
      <c r="B19" s="26" t="inlineStr">
        <is>
          <t>Thu Aug 6 18:10:10 2026 +0530</t>
        </is>
      </c>
      <c r="C19" s="27" t="inlineStr">
        <is>
          <t>Detail extraction page ranges for components/jobs and improve screening banner colors</t>
        </is>
      </c>
      <c r="D19" s="27" t="inlineStr">
        <is>
          <t>backend/app/services/extractor.py
frontend/src/pages/ManualReview.tsx</t>
        </is>
      </c>
      <c r="E19" s="26" t="inlineStr">
        <is>
          <t>Completed</t>
        </is>
      </c>
    </row>
    <row r="20" ht="25.5" customHeight="1" s="30">
      <c r="A20" s="28" t="inlineStr">
        <is>
          <t>829efd5</t>
        </is>
      </c>
      <c r="B20" s="28" t="inlineStr">
        <is>
          <t>Tue Aug 18 05:02:54 2026 +0530</t>
        </is>
      </c>
      <c r="C20" s="29" t="inlineStr">
        <is>
          <t>feat: implement job title library database matching and action-based naming rules</t>
        </is>
      </c>
      <c r="D20" s="29" t="inlineStr">
        <is>
          <t>backend/alembic/versions/e41039a804fc_create_job_title_library_table.py
backend/app/api/v1/jobs.py
backend/app/models/__init__.py
backend/app/models/job_title_library.py
backend/app/services/extractor.py
backend/app/services/job_naming.py</t>
        </is>
      </c>
      <c r="E20" s="28" t="inlineStr">
        <is>
          <t>Completed</t>
        </is>
      </c>
    </row>
    <row r="21" ht="25.5" customHeight="1" s="30">
      <c r="A21" s="26" t="inlineStr">
        <is>
          <t>6eea118</t>
        </is>
      </c>
      <c r="B21" s="26" t="inlineStr">
        <is>
          <t>Tue Aug 18 05:37:57 2026 +0530</t>
        </is>
      </c>
      <c r="C21" s="27" t="inlineStr">
        <is>
          <t>feat: add automatic startup seeding from complete 16940-record CSV job title library</t>
        </is>
      </c>
      <c r="D21" s="27" t="inlineStr">
        <is>
          <t>backend/app/assets/asm_jobs.csv
backend/app/main.py</t>
        </is>
      </c>
      <c r="E21" s="26" t="inlineStr">
        <is>
          <t>Completed</t>
        </is>
      </c>
    </row>
    <row r="22" ht="25.5" customHeight="1" s="30">
      <c r="A22" s="28" t="inlineStr">
        <is>
          <t>4acffaf</t>
        </is>
      </c>
      <c r="B22" s="28" t="inlineStr">
        <is>
          <t>Tue Aug 25 08:26:01 2026 +0530</t>
        </is>
      </c>
      <c r="C22" s="29" t="inlineStr">
        <is>
          <t>feat: implement duplicate-aware job formatting Component - Job Body - Action with enhanced action identifier</t>
        </is>
      </c>
      <c r="D22" s="29" t="inlineStr">
        <is>
          <t>backend/app/api/v1/jobs.py
backend/app/main.py
backend/app/services/extractor.py
backend/app/services/job_naming.py</t>
        </is>
      </c>
      <c r="E22" s="28" t="inlineStr">
        <is>
          <t>Completed</t>
        </is>
      </c>
    </row>
    <row r="23" ht="25.5" customHeight="1" s="30">
      <c r="A23" s="26" t="inlineStr">
        <is>
          <t>32fbc05</t>
        </is>
      </c>
      <c r="B23" s="26" t="inlineStr">
        <is>
          <t>Tue Aug 25 18:06:39 2026 +0530</t>
        </is>
      </c>
      <c r="C23" s="27" t="inlineStr">
        <is>
          <t>feat: support Boiler Flame Eye and Main Burner component synonym library matching</t>
        </is>
      </c>
      <c r="D23" s="27" t="inlineStr">
        <is>
          <t>backend/app/api/v1/jobs.py
backend/app/services/extractor.py
backend/app/services/job_naming.py
backend/app/tasks/classification.py</t>
        </is>
      </c>
      <c r="E23" s="26" t="inlineStr">
        <is>
          <t>Completed</t>
        </is>
      </c>
    </row>
    <row r="24" ht="25.5" customHeight="1" s="30">
      <c r="A24" s="28" t="inlineStr">
        <is>
          <t>8869b1a</t>
        </is>
      </c>
      <c r="B24" s="28" t="inlineStr">
        <is>
          <t>Tue Aug 25 18:18:45 2026 +0530</t>
        </is>
      </c>
      <c r="C24" s="29" t="inlineStr">
        <is>
          <t>fix: correct column name to original_job_name in job_name_backup queries</t>
        </is>
      </c>
      <c r="D24" s="29" t="inlineStr">
        <is>
          <t>backend/app/api/v1/jobs.py
backend/app/services/extractor.py
backend/app/services/job_naming.py</t>
        </is>
      </c>
      <c r="E24" s="28" t="inlineStr">
        <is>
          <t>Completed</t>
        </is>
      </c>
    </row>
    <row r="25" ht="25.5" customHeight="1" s="30">
      <c r="A25" s="26" t="inlineStr">
        <is>
          <t>c269db5</t>
        </is>
      </c>
      <c r="B25" s="26" t="inlineStr">
        <is>
          <t>Wed Aug 12 11:44:01 2026 +0530</t>
        </is>
      </c>
      <c r="C25" s="27" t="inlineStr">
        <is>
          <t>Fix backend job list and export endpoints to filter by both frequency and frequency_type</t>
        </is>
      </c>
      <c r="D25" s="27" t="inlineStr">
        <is>
          <t>backend/app/api/v1/jobs.py</t>
        </is>
      </c>
      <c r="E25" s="26" t="inlineStr">
        <is>
          <t>Completed</t>
        </is>
      </c>
    </row>
    <row r="26" ht="25.5" customHeight="1" s="30">
      <c r="A26" s="28" t="inlineStr">
        <is>
          <t>edeef9c</t>
        </is>
      </c>
      <c r="B26" s="28" t="inlineStr">
        <is>
          <t>Wed Aug 19 15:17:09 2026 +0530</t>
        </is>
      </c>
      <c r="C26" s="29" t="inlineStr">
        <is>
          <t>feat: migrate job title library to existing global_job_library table under F-04 Global Libraries</t>
        </is>
      </c>
      <c r="D26" s="29" t="inlineStr">
        <is>
          <t>backend/alembic/versions/2c31f19ace76_drop_job_title_library_table.py
backend/app/api/v1/jobs.py
backend/app/main.py
backend/app/models/__init__.py
backend/app/models/job_title_library.py
backend/app/services/extractor.py
backend/app/services/job_naming.py</t>
        </is>
      </c>
      <c r="E26" s="28" t="inlineStr">
        <is>
          <t>Completed</t>
        </is>
      </c>
    </row>
    <row r="27" ht="25.5" customHeight="1" s="30">
      <c r="A27" s="26" t="inlineStr">
        <is>
          <t>29398c2</t>
        </is>
      </c>
      <c r="B27" s="26" t="inlineStr">
        <is>
          <t>Wed Aug 19 18:11:28 2026 +0530</t>
        </is>
      </c>
      <c r="C27" s="27" t="inlineStr">
        <is>
          <t>fix: export complete un-truncated job description in QC and standard job exports</t>
        </is>
      </c>
      <c r="D27" s="27" t="inlineStr">
        <is>
          <t>backend/app/api/v1/jobs.py</t>
        </is>
      </c>
      <c r="E27" s="26" t="inlineStr">
        <is>
          <t>Completed</t>
        </is>
      </c>
    </row>
    <row r="28" ht="25.5" customHeight="1" s="30">
      <c r="A28" s="28" t="inlineStr">
        <is>
          <t>9d19a48</t>
        </is>
      </c>
      <c r="B28" s="28" t="inlineStr">
        <is>
          <t>Wed Aug 19 18:17:29 2026 +0530</t>
        </is>
      </c>
      <c r="C28" s="29" t="inlineStr">
        <is>
          <t>feat: format job description to split list items onto new lines and prefix with /*-</t>
        </is>
      </c>
      <c r="D28" s="29" t="inlineStr">
        <is>
          <t>backend/app/models/job.py</t>
        </is>
      </c>
      <c r="E28" s="28" t="inlineStr">
        <is>
          <t>Completed</t>
        </is>
      </c>
    </row>
    <row r="29" ht="25.5" customHeight="1" s="30">
      <c r="A29" s="26" t="inlineStr">
        <is>
          <t>1b090c0</t>
        </is>
      </c>
      <c r="B29" s="26" t="inlineStr">
        <is>
          <t>Wed Aug 19 18:24:23 2026 +0530</t>
        </is>
      </c>
      <c r="C29" s="27" t="inlineStr">
        <is>
          <t>feat: instruct LLM extraction prompt to format job description with /*- and split lists</t>
        </is>
      </c>
      <c r="D29" s="27" t="inlineStr">
        <is>
          <t>backend/app/services/extractor.py</t>
        </is>
      </c>
      <c r="E29" s="26" t="inlineStr">
        <is>
          <t>Completed</t>
        </is>
      </c>
    </row>
    <row r="30" ht="25.5" customHeight="1" s="30">
      <c r="A30" s="28" t="inlineStr">
        <is>
          <t>8a72a8f</t>
        </is>
      </c>
      <c r="B30" s="28" t="inlineStr">
        <is>
          <t>Wed Aug 19 18:29:32 2026 +0530</t>
        </is>
      </c>
      <c r="C30" s="29" t="inlineStr">
        <is>
          <t>feat: format even source references in job descriptions with /*-</t>
        </is>
      </c>
      <c r="D30" s="29" t="inlineStr">
        <is>
          <t>backend/app/models/job.py</t>
        </is>
      </c>
      <c r="E30" s="28" t="inlineStr">
        <is>
          <t>Completed</t>
        </is>
      </c>
    </row>
    <row r="31" ht="25.5" customHeight="1" s="30">
      <c r="A31" s="26" t="inlineStr">
        <is>
          <t>a125db5</t>
        </is>
      </c>
      <c r="B31" s="26" t="inlineStr">
        <is>
          <t>Wed Aug 19 18:32:54 2026 +0530</t>
        </is>
      </c>
      <c r="C31" s="27" t="inlineStr">
        <is>
          <t>feat: add backup, backfill, and restore fallback scripts for job description formatting</t>
        </is>
      </c>
      <c r="D31" s="27" t="inlineStr">
        <is>
          <t>backend/scripts/backfill_job_descriptions.py
backend/scripts/backup_descriptions.py
backend/scripts/restore_descriptions.py
backend/scripts/run_production_backfill.py</t>
        </is>
      </c>
      <c r="E31" s="26" t="inlineStr">
        <is>
          <t>Completed</t>
        </is>
      </c>
    </row>
    <row r="32" ht="25.5" customHeight="1" s="30">
      <c r="A32" s="28" t="inlineStr">
        <is>
          <t>9deced9</t>
        </is>
      </c>
      <c r="B32" s="28" t="inlineStr">
        <is>
          <t>Wed Aug 19 18:53:16 2026 +0530</t>
        </is>
      </c>
      <c r="C32" s="29" t="inlineStr">
        <is>
          <t>feat: refine job title library startup seeder to populate if count is below 15000</t>
        </is>
      </c>
      <c r="D32" s="29" t="inlineStr">
        <is>
          <t>backend/app/main.py</t>
        </is>
      </c>
      <c r="E32" s="28" t="inlineStr">
        <is>
          <t>Completed</t>
        </is>
      </c>
    </row>
    <row r="33" ht="25.5" customHeight="1" s="30">
      <c r="A33" s="26" t="inlineStr">
        <is>
          <t>2926f87</t>
        </is>
      </c>
      <c r="B33" s="26" t="inlineStr">
        <is>
          <t>Wed Aug 19 19:31:19 2026 +0530</t>
        </is>
      </c>
      <c r="C33" s="27" t="inlineStr">
        <is>
          <t>feat: add automatic database job name backup and backfill runner on startup</t>
        </is>
      </c>
      <c r="D33" s="27" t="inlineStr">
        <is>
          <t>backend/app/main.py</t>
        </is>
      </c>
      <c r="E33" s="26" t="inlineStr">
        <is>
          <t>Completed</t>
        </is>
      </c>
    </row>
    <row r="34" ht="25.5" customHeight="1" s="30">
      <c r="A34" s="28" t="inlineStr">
        <is>
          <t>84b2be8</t>
        </is>
      </c>
      <c r="B34" s="28" t="inlineStr">
        <is>
          <t>Wed Aug 19 19:44:40 2026 +0530</t>
        </is>
      </c>
      <c r="C34" s="29" t="inlineStr">
        <is>
          <t>fix: prevent NotNullViolationError in jobs table by keeping original job name if resolver returns None</t>
        </is>
      </c>
      <c r="D34" s="29" t="inlineStr">
        <is>
          <t>backend/app/api/v1/jobs.py
backend/app/services/extractor.py</t>
        </is>
      </c>
      <c r="E34" s="28" t="inlineStr">
        <is>
          <t>Completed</t>
        </is>
      </c>
    </row>
    <row r="35" ht="25.5" customHeight="1" s="30">
      <c r="A35" s="26" t="inlineStr">
        <is>
          <t>6371ebf</t>
        </is>
      </c>
      <c r="B35" s="26" t="inlineStr">
        <is>
          <t>Wed Aug 19 19:58:23 2026 +0530</t>
        </is>
      </c>
      <c r="C35" s="27" t="inlineStr">
        <is>
          <t>feat: add component name hyphen parsing fallback to startup job name backfill</t>
        </is>
      </c>
      <c r="D35" s="27" t="inlineStr">
        <is>
          <t>backend/app/main.py</t>
        </is>
      </c>
      <c r="E35" s="26" t="inlineStr">
        <is>
          <t>Completed</t>
        </is>
      </c>
    </row>
    <row r="36" ht="25.5" customHeight="1" s="30">
      <c r="A36" s="28" t="inlineStr">
        <is>
          <t>c9d6d38</t>
        </is>
      </c>
      <c r="B36" s="28" t="inlineStr">
        <is>
          <t>Wed Aug 19 20:07:42 2026 +0530</t>
        </is>
      </c>
      <c r="C36" s="29" t="inlineStr">
        <is>
          <t>feat: enhance startup job name backfill to resolve components by scanning library keyword list</t>
        </is>
      </c>
      <c r="D36" s="29" t="inlineStr">
        <is>
          <t>backend/app/main.py</t>
        </is>
      </c>
      <c r="E36" s="28" t="inlineStr">
        <is>
          <t>Completed</t>
        </is>
      </c>
    </row>
    <row r="37" ht="25.5" customHeight="1" s="30">
      <c r="A37" s="26" t="inlineStr">
        <is>
          <t>ef20891</t>
        </is>
      </c>
      <c r="B37" s="26" t="inlineStr">
        <is>
          <t>Wed Aug 19 20:21:36 2026 +0530</t>
        </is>
      </c>
      <c r="C37" s="27" t="inlineStr">
        <is>
          <t>feat: run startup job name backfill on all jobs regardless of is_deleted status</t>
        </is>
      </c>
      <c r="D37" s="27" t="inlineStr">
        <is>
          <t>backend/app/main.py</t>
        </is>
      </c>
      <c r="E37" s="26" t="inlineStr">
        <is>
          <t>Completed</t>
        </is>
      </c>
    </row>
    <row r="38" ht="25.5" customHeight="1" s="30">
      <c r="A38" s="28" t="inlineStr">
        <is>
          <t>58ef27f</t>
        </is>
      </c>
      <c r="B38" s="28" t="inlineStr">
        <is>
          <t>Wed Aug 19 20:29:26 2026 +0530</t>
        </is>
      </c>
      <c r="C38" s="29" t="inlineStr">
        <is>
          <t>feat: enforce Component - Action naming format for all jobs and bypass Rule 4 empty result return</t>
        </is>
      </c>
      <c r="D38" s="29" t="inlineStr">
        <is>
          <t>backend/app/services/job_naming.py</t>
        </is>
      </c>
      <c r="E38" s="28" t="inlineStr">
        <is>
          <t>Completed</t>
        </is>
      </c>
    </row>
    <row r="39" ht="25.5" customHeight="1" s="30">
      <c r="A39" s="26" t="inlineStr">
        <is>
          <t>843c134</t>
        </is>
      </c>
      <c r="B39" s="26" t="inlineStr">
        <is>
          <t>Wed Jul 29 18:13:35 2026 +0530</t>
        </is>
      </c>
      <c r="C39" s="27" t="inlineStr">
        <is>
          <t>feat: implement manual dropdown and component-manual constraints on Job Page</t>
        </is>
      </c>
      <c r="D39" s="27" t="inlineStr">
        <is>
          <t>backend/app/api/v1/jobs.py
frontend/src/pages/JobsReview.tsx</t>
        </is>
      </c>
      <c r="E39" s="26" t="inlineStr">
        <is>
          <t>Completed</t>
        </is>
      </c>
    </row>
    <row r="40" ht="25.5" customHeight="1" s="30">
      <c r="A40" s="28" t="inlineStr">
        <is>
          <t>042acaa</t>
        </is>
      </c>
      <c r="B40" s="28" t="inlineStr">
        <is>
          <t>Wed Jul 29 18:21:41 2026 +0530</t>
        </is>
      </c>
      <c r="C40" s="29" t="inlineStr">
        <is>
          <t>feat: merge descriptions during job merge, restrict job mapping to manual components, and add PDF reference dropdown in Job Editor</t>
        </is>
      </c>
      <c r="D40" s="29" t="inlineStr">
        <is>
          <t>backend/app/api/v1/jobs.py
frontend/src/pages/JobsReview.tsx</t>
        </is>
      </c>
      <c r="E40" s="28" t="inlineStr">
        <is>
          <t>Completed</t>
        </is>
      </c>
    </row>
    <row r="41" ht="25.5" customHeight="1" s="30">
      <c r="A41" s="26" t="inlineStr">
        <is>
          <t>30ea351</t>
        </is>
      </c>
      <c r="B41" s="26" t="inlineStr">
        <is>
          <t>Wed Jul 29 18:26:55 2026 +0530</t>
        </is>
      </c>
      <c r="C41" s="27" t="inlineStr">
        <is>
          <t>fix: remove toggleSelect from row onClick to prevent double click layout shifting</t>
        </is>
      </c>
      <c r="D41" s="27" t="inlineStr">
        <is>
          <t>frontend/src/pages/JobsReview.tsx</t>
        </is>
      </c>
      <c r="E41" s="26" t="inlineStr">
        <is>
          <t>Completed</t>
        </is>
      </c>
    </row>
    <row r="42">
      <c r="A42" s="0" t="inlineStr">
        <is>
          <t>a507a86</t>
        </is>
      </c>
      <c r="B42" s="0" t="inlineStr">
        <is>
          <t>Fri Oct 09 13:00:07 2026 +0530</t>
        </is>
      </c>
      <c r="C42" s="0" t="inlineStr">
        <is>
          <t>fix(export): resolve 500 error in components and jobs QC export endpoints by initializing BytesIO buffer</t>
        </is>
      </c>
      <c r="D42" s="0" t="inlineStr">
        <is>
          <t>backend/app/api/v1/components.py
backend/app/api/v1/jobs.py</t>
        </is>
      </c>
      <c r="E42" s="0" t="inlineStr">
        <is>
          <t>Completed</t>
        </is>
      </c>
    </row>
    <row r="43">
      <c r="A43" s="0" t="inlineStr">
        <is>
          <t>b0c64ec</t>
        </is>
      </c>
      <c r="B43" s="0" t="inlineStr">
        <is>
          <t>Tue Sep 22 22:42:28 2026 +0530</t>
        </is>
      </c>
      <c r="C43" s="0" t="inlineStr">
        <is>
          <t>feat(snip-extract): add searchable filter dropdown for PDF manual source in Jobs and Spares</t>
        </is>
      </c>
      <c r="D43" s="0" t="inlineStr">
        <is>
          <t>frontend/src/components/SearchableSelect.tsx
frontend/src/components/jobs/SnipExtractJobsModal.tsx
frontend/src/components/spares/SnipExtractModal.tsx</t>
        </is>
      </c>
      <c r="E43" s="0" t="inlineStr">
        <is>
          <t>Completed</t>
        </is>
      </c>
    </row>
    <row r="44">
      <c r="A44" s="0" t="inlineStr">
        <is>
          <t>0824b42</t>
        </is>
      </c>
      <c r="B44" s="0" t="inlineStr">
        <is>
          <t>Mon Sep 21 17:35:44 2026 +0530</t>
        </is>
      </c>
      <c r="C44" s="0" t="inlineStr">
        <is>
          <t>fix(qc-export): soft-delete old extraction records upon re-extraction and deduplicate export</t>
        </is>
      </c>
      <c r="D44" s="0" t="inlineStr">
        <is>
          <t>backend/app/api/v1/jobs.py
backend/app/api/v1/spares.py
backend/app/services/extractor.py</t>
        </is>
      </c>
      <c r="E44" s="0" t="inlineStr">
        <is>
          <t>Completed</t>
        </is>
      </c>
    </row>
    <row r="45">
      <c r="A45" s="0" t="inlineStr">
        <is>
          <t>5c9dd9b</t>
        </is>
      </c>
      <c r="B45" s="0" t="inlineStr">
        <is>
          <t>Mon Sep 21 16:10:50 2026 +0530</t>
        </is>
      </c>
      <c r="C45" s="0" t="inlineStr">
        <is>
          <t>feat(preview): add PyMuPDF rendering, disk caching, progress bar, and user-cancellable loading without timeout</t>
        </is>
      </c>
      <c r="D45" s="0" t="inlineStr">
        <is>
          <t>backend/app/api/v1/manuals.py
backend/requirements.txt
frontend/src/components/jobs/SnipExtractJobsModal.tsx
frontend/src/components/manuals/ManualPagePreview.tsx
frontend/src/components/spares/SnipExtractModal.tsx
requirements.txt</t>
        </is>
      </c>
      <c r="E45" s="0" t="inlineStr">
        <is>
          <t>Completed</t>
        </is>
      </c>
    </row>
    <row r="46">
      <c r="A46" s="0" t="inlineStr">
        <is>
          <t>a2fd561</t>
        </is>
      </c>
      <c r="B46" s="0" t="inlineStr">
        <is>
          <t>Thu Sep 10 03:05:59 2026 +0530</t>
        </is>
      </c>
      <c r="C46" s="0" t="inlineStr">
        <is>
          <t>fix: include manual name in QC export filename when source manual filter is applied</t>
        </is>
      </c>
      <c r="D46" s="0" t="inlineStr">
        <is>
          <t>backend/app/api/v1/components.py
backend/app/api/v1/jobs.py
backend/app/api/v1/spares.py</t>
        </is>
      </c>
      <c r="E46" s="0" t="inlineStr">
        <is>
          <t>Completed</t>
        </is>
      </c>
    </row>
    <row r="47">
      <c r="A47" s="0" t="inlineStr">
        <is>
          <t>7599321</t>
        </is>
      </c>
      <c r="B47" s="0" t="inlineStr">
        <is>
          <t>Tue Sep 01 12:52:13 2026 +0530</t>
        </is>
      </c>
      <c r="C47" s="0" t="inlineStr">
        <is>
          <t>perf: optimize openpyxl export streams for 5x faster QC export generation</t>
        </is>
      </c>
      <c r="D47" s="0" t="inlineStr">
        <is>
          <t>backend/app/api/v1/components.py
backend/app/api/v1/jobs.py
backend/app/api/v1/spares.py</t>
        </is>
      </c>
      <c r="E47" s="0" t="inlineStr">
        <is>
          <t>Completed</t>
        </is>
      </c>
    </row>
    <row r="48">
      <c r="A48" s="0" t="inlineStr">
        <is>
          <t>d6c3cd4</t>
        </is>
      </c>
      <c r="B48" s="0" t="inlineStr">
        <is>
          <t>Tue Sep 01 12:22:34 2026 +0530</t>
        </is>
      </c>
      <c r="C48" s="0" t="inlineStr">
        <is>
          <t>feat: support filtered QC exports, add progress loader modal, and set QC Export button text to black</t>
        </is>
      </c>
      <c r="D48" s="0" t="inlineStr">
        <is>
          <t>backend/app/api/v1/components.py
backend/app/api/v1/jobs.py
backend/app/api/v1/spares.py
frontend/src/components/common/ExportProgressModal.tsx
frontend/src/pages/ComponentReview.tsx
frontend/src/pages/JobsReview.tsx
frontend/src/pages/SparesReview.tsx</t>
        </is>
      </c>
      <c r="E48" s="0" t="inlineStr">
        <is>
          <t>Completed</t>
        </is>
      </c>
    </row>
    <row r="49">
      <c r="A49" s="0" t="inlineStr">
        <is>
          <t>f6da43b</t>
        </is>
      </c>
      <c r="B49" s="0" t="inlineStr">
        <is>
          <t>Mon Aug 31 19:32:36 2026 +0530</t>
        </is>
      </c>
      <c r="C49" s="0" t="inlineStr">
        <is>
          <t>feat: add batch extraction confirmation modal and integrate premium FilterableDropdown for jobs component selection</t>
        </is>
      </c>
      <c r="D49" s="0" t="inlineStr">
        <is>
          <t>frontend/src/components/common/FilterableDropdown.tsx
frontend/src/components/manuals/ExtractionConfirmationModal.tsx
frontend/src/pages/JobsReview.tsx
frontend/src/pages/ManualReview.tsx</t>
        </is>
      </c>
      <c r="E49" s="0" t="inlineStr">
        <is>
          <t>Completed</t>
        </is>
      </c>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Spares Page</t>
        </is>
      </c>
    </row>
    <row r="2" ht="18" customHeight="1" s="30">
      <c r="A2" s="25" t="inlineStr">
        <is>
          <t>Complete repository commits targeting features and files on the Spares Page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5c2f657</t>
        </is>
      </c>
      <c r="B5" s="26" t="inlineStr">
        <is>
          <t>Fri Aug 21 15:28:01 2026 +0530</t>
        </is>
      </c>
      <c r="C5" s="27" t="inlineStr">
        <is>
          <t>feat: force full-page spare parts extraction by default</t>
        </is>
      </c>
      <c r="D5" s="27" t="inlineStr">
        <is>
          <t>backend/app/services/extractor.py</t>
        </is>
      </c>
      <c r="E5" s="26" t="inlineStr">
        <is>
          <t>Completed</t>
        </is>
      </c>
    </row>
    <row r="6" ht="25.5" customHeight="1" s="30">
      <c r="A6" s="28" t="inlineStr">
        <is>
          <t>760a0fc</t>
        </is>
      </c>
      <c r="B6" s="28" t="inlineStr">
        <is>
          <t>Fri Aug 7 15:35:21 2026 +0530</t>
        </is>
      </c>
      <c r="C6" s="29" t="inlineStr">
        <is>
          <t>Implement fallback to component name or clean filename for spare_assembly when not extracted</t>
        </is>
      </c>
      <c r="D6" s="29" t="inlineStr">
        <is>
          <t>backend/app/services/extractor.py</t>
        </is>
      </c>
      <c r="E6" s="28" t="inlineStr">
        <is>
          <t>Completed</t>
        </is>
      </c>
    </row>
    <row r="7" ht="25.5" customHeight="1" s="30">
      <c r="A7" s="26" t="inlineStr">
        <is>
          <t>4669dec</t>
        </is>
      </c>
      <c r="B7" s="26" t="inlineStr">
        <is>
          <t>Fri Aug 7 15:58:45 2026 +0530</t>
        </is>
      </c>
      <c r="C7" s="27" t="inlineStr">
        <is>
          <t>Implement sorting of all columns across review pages and add frequency filter to jobs page</t>
        </is>
      </c>
      <c r="D7" s="27" t="inlineStr">
        <is>
          <t>backend/app/api/v1/jobs.py
frontend/src/pages/ComponentReview.tsx
frontend/src/pages/JobsReview.tsx
frontend/src/pages/SparesReview.tsx</t>
        </is>
      </c>
      <c r="E7" s="26" t="inlineStr">
        <is>
          <t>Completed</t>
        </is>
      </c>
    </row>
    <row r="8" ht="25.5" customHeight="1" s="30">
      <c r="A8" s="28" t="inlineStr">
        <is>
          <t>5e219c3</t>
        </is>
      </c>
      <c r="B8" s="28" t="inlineStr">
        <is>
          <t>Fri Aug 7 16:11:25 2026 +0530</t>
        </is>
      </c>
      <c r="C8" s="29" t="inlineStr">
        <is>
          <t>Make component name editable inline on ComponentReview page and propagate changes to spares</t>
        </is>
      </c>
      <c r="D8" s="29" t="inlineStr">
        <is>
          <t>backend/app/api/v1/components.py
frontend/src/pages/ComponentReview.tsx</t>
        </is>
      </c>
      <c r="E8" s="28" t="inlineStr">
        <is>
          <t>Completed</t>
        </is>
      </c>
    </row>
    <row r="9" ht="25.5" customHeight="1" s="30">
      <c r="A9" s="26" t="inlineStr">
        <is>
          <t>897928e</t>
        </is>
      </c>
      <c r="B9" s="26" t="inlineStr">
        <is>
          <t>Fri Aug 7 20:37:14 2026 +0530</t>
        </is>
      </c>
      <c r="C9" s="27" t="inlineStr">
        <is>
          <t>Implement Snip &amp; Extract for Jobs page and wire Spares Snip &amp; Extract button click</t>
        </is>
      </c>
      <c r="D9" s="27" t="inlineStr">
        <is>
          <t>backend/app/api/v1/jobs.py
frontend/src/components/jobs/SnipExtractJobsModal.tsx
frontend/src/pages/JobsReview.tsx</t>
        </is>
      </c>
      <c r="E9" s="26" t="inlineStr">
        <is>
          <t>Completed</t>
        </is>
      </c>
    </row>
    <row r="10" ht="25.5" customHeight="1" s="30">
      <c r="A10" s="28" t="inlineStr">
        <is>
          <t>7f3a91b</t>
        </is>
      </c>
      <c r="B10" s="28" t="inlineStr">
        <is>
          <t>Fri Aug 7 20:54:21 2026 +0530</t>
        </is>
      </c>
      <c r="C10" s="29" t="inlineStr">
        <is>
          <t>Fix manuals query list pagination data layout and add open in new tab manual action</t>
        </is>
      </c>
      <c r="D10" s="29" t="inlineStr">
        <is>
          <t>frontend/src/components/jobs/SnipExtractJobsModal.tsx
frontend/src/components/spares/SnipExtractModal.tsx</t>
        </is>
      </c>
      <c r="E10" s="28" t="inlineStr">
        <is>
          <t>Completed</t>
        </is>
      </c>
    </row>
    <row r="11" ht="25.5" customHeight="1" s="30">
      <c r="A11" s="26" t="inlineStr">
        <is>
          <t>452379a</t>
        </is>
      </c>
      <c r="B11" s="26" t="inlineStr">
        <is>
          <t>Fri Jul 24 18:48:00 2026 +0530</t>
        </is>
      </c>
      <c r="C11" s="27" t="inlineStr">
        <is>
          <t>Feature: Add extraction task controls (stop, pause, resume), detailed screening progress tracking, and fix spares page zooming</t>
        </is>
      </c>
      <c r="D11" s="27" t="inlineStr">
        <is>
          <t>backend/app/api/v1/extraction.py
backend/app/api/v1/ingestion.py
backend/app/services/extractor.py
frontend/src/components/spares/SnipExtractModal.tsx
frontend/src/pages/ManualReview.tsx</t>
        </is>
      </c>
      <c r="E11" s="26" t="inlineStr">
        <is>
          <t>Completed</t>
        </is>
      </c>
    </row>
    <row r="12" ht="25.5" customHeight="1" s="30">
      <c r="A12" s="28" t="inlineStr">
        <is>
          <t>6eae117</t>
        </is>
      </c>
      <c r="B12" s="28" t="inlineStr">
        <is>
          <t>Fri Jul 24 19:19:23 2026 +0530</t>
        </is>
      </c>
      <c r="C12" s="29" t="inlineStr">
        <is>
          <t>Fix: Resolve spares vision extraction silent failure, correct model ID, and add step-by-step progress UI</t>
        </is>
      </c>
      <c r="D12" s="29" t="inlineStr">
        <is>
          <t>backend/app/core/config.py
backend/app/services/extractor.py
frontend/src/components/spares/SnipExtractModal.tsx</t>
        </is>
      </c>
      <c r="E12" s="28" t="inlineStr">
        <is>
          <t>Completed</t>
        </is>
      </c>
    </row>
    <row r="13" ht="25.5" customHeight="1" s="30">
      <c r="A13" s="26" t="inlineStr">
        <is>
          <t>0661add</t>
        </is>
      </c>
      <c r="B13" s="26" t="inlineStr">
        <is>
          <t>Fri Jul 24 19:28:24 2026 +0530</t>
        </is>
      </c>
      <c r="C13" s="27" t="inlineStr">
        <is>
          <t>Fix: Reset Claude vision billing breaker on new extraction requests</t>
        </is>
      </c>
      <c r="D13" s="27" t="inlineStr">
        <is>
          <t>backend/app/api/v1/extraction.py
backend/app/api/v1/ingestion.py
backend/app/api/v1/spares.py</t>
        </is>
      </c>
      <c r="E13" s="26" t="inlineStr">
        <is>
          <t>Completed</t>
        </is>
      </c>
    </row>
    <row r="14" ht="25.5" customHeight="1" s="30">
      <c r="A14" s="28" t="inlineStr">
        <is>
          <t>e2f7f9d</t>
        </is>
      </c>
      <c r="B14" s="28" t="inlineStr">
        <is>
          <t>Fri Jul 24 19:35:39 2026 +0530</t>
        </is>
      </c>
      <c r="C14" s="29" t="inlineStr">
        <is>
          <t>Fix: Correct crop boundary calculations under zoom in imageElementToBlob</t>
        </is>
      </c>
      <c r="D14" s="29" t="inlineStr">
        <is>
          <t>frontend/src/components/manuals/ManualPagePreview.tsx
frontend/src/components/spares/SnipExtractModal.tsx</t>
        </is>
      </c>
      <c r="E14" s="28" t="inlineStr">
        <is>
          <t>Completed</t>
        </is>
      </c>
    </row>
    <row r="15" ht="25.5" customHeight="1" s="30">
      <c r="A15" s="26" t="inlineStr">
        <is>
          <t>97dcbad</t>
        </is>
      </c>
      <c r="B15" s="26" t="inlineStr">
        <is>
          <t>Fri Jul 24 20:18:20 2026 +0530</t>
        </is>
      </c>
      <c r="C15" s="27" t="inlineStr">
        <is>
          <t>Fix: Import and initialize logger in spares.py to prevent NameError</t>
        </is>
      </c>
      <c r="D15" s="27" t="inlineStr">
        <is>
          <t>backend/app/api/v1/spares.py</t>
        </is>
      </c>
      <c r="E15" s="26" t="inlineStr">
        <is>
          <t>Completed</t>
        </is>
      </c>
    </row>
    <row r="16" ht="25.5" customHeight="1" s="30">
      <c r="A16" s="28" t="inlineStr">
        <is>
          <t>2783306</t>
        </is>
      </c>
      <c r="B16" s="28" t="inlineStr">
        <is>
          <t>Fri Jun 5 20:07:40 2026 +0530</t>
        </is>
      </c>
      <c r="C16" s="29" t="inlineStr">
        <is>
          <t>Fix: saving the edit jobs</t>
        </is>
      </c>
      <c r="D16" s="29" t="inlineStr">
        <is>
          <t>backend/app/api/v1/components.py
backend/app/api/v1/jobs.py
backend/app/api/v1/spares.py</t>
        </is>
      </c>
      <c r="E16" s="28" t="inlineStr">
        <is>
          <t>Completed</t>
        </is>
      </c>
    </row>
    <row r="17" ht="25.5" customHeight="1" s="30">
      <c r="A17" s="26" t="inlineStr">
        <is>
          <t>d842397</t>
        </is>
      </c>
      <c r="B17" s="26" t="inlineStr">
        <is>
          <t>Fri Jun 5 20:35:09 2026 +0530</t>
        </is>
      </c>
      <c r="C17" s="27" t="inlineStr">
        <is>
          <t>Change: Spares edit in a seperate modal</t>
        </is>
      </c>
      <c r="D17" s="27" t="inlineStr">
        <is>
          <t>frontend/src/pages/SparesReview.tsx</t>
        </is>
      </c>
      <c r="E17" s="26" t="inlineStr">
        <is>
          <t>Completed</t>
        </is>
      </c>
    </row>
    <row r="18" ht="25.5" customHeight="1" s="30">
      <c r="A18" s="28" t="inlineStr">
        <is>
          <t>d02de86</t>
        </is>
      </c>
      <c r="B18" s="28" t="inlineStr">
        <is>
          <t>Mon Jul 20 16:47:55 2026 +0530</t>
        </is>
      </c>
      <c r="C18" s="29" t="inlineStr">
        <is>
          <t>feat(frontend): add row double-click manual open in Components &amp; fix table scrolling height in Jobs &amp; Spares</t>
        </is>
      </c>
      <c r="D18" s="29" t="inlineStr">
        <is>
          <t>frontend/src/pages/ComponentReview.tsx
frontend/src/pages/JobsReview.tsx
frontend/src/pages/SparesReview.tsx</t>
        </is>
      </c>
      <c r="E18" s="28" t="inlineStr">
        <is>
          <t>Completed</t>
        </is>
      </c>
    </row>
    <row r="19" ht="25.5" customHeight="1" s="30">
      <c r="A19" s="26" t="inlineStr">
        <is>
          <t>935d66a</t>
        </is>
      </c>
      <c r="B19" s="26" t="inlineStr">
        <is>
          <t>Mon Jul 20 18:23:34 2026 +0530</t>
        </is>
      </c>
      <c r="C19" s="27" t="inlineStr">
        <is>
          <t>Feature: add pre-populated manual, mandatory main machinery dropdown, add main machinery modal, component copying between manuals, and searchable dropdowns</t>
        </is>
      </c>
      <c r="D19" s="27" t="inlineStr">
        <is>
          <t>backend/app/api/v1/components.py
frontend/src/components/SearchableSelect.tsx
frontend/src/pages/ComponentReview.tsx
frontend/src/pages/JobsReview.tsx
frontend/src/pages/SparesReview.tsx</t>
        </is>
      </c>
      <c r="E19" s="26" t="inlineStr">
        <is>
          <t>Completed</t>
        </is>
      </c>
    </row>
    <row r="20" ht="25.5" customHeight="1" s="30">
      <c r="A20" s="28" t="inlineStr">
        <is>
          <t>620ac10</t>
        </is>
      </c>
      <c r="B20" s="28" t="inlineStr">
        <is>
          <t>Mon Jun 8 18:00:03 2026 +0530</t>
        </is>
      </c>
      <c r="C20" s="29" t="inlineStr">
        <is>
          <t>Updates: Click and double click function on component and spares pages</t>
        </is>
      </c>
      <c r="D20" s="29" t="inlineStr">
        <is>
          <t>frontend/src/pages/ComponentReview.tsx
frontend/src/pages/SparesReview.tsx</t>
        </is>
      </c>
      <c r="E20" s="28" t="inlineStr">
        <is>
          <t>Completed</t>
        </is>
      </c>
    </row>
    <row r="21" ht="25.5" customHeight="1" s="30">
      <c r="A21" s="26" t="inlineStr">
        <is>
          <t>6a762ee</t>
        </is>
      </c>
      <c r="B21" s="26" t="inlineStr">
        <is>
          <t>Thu Aug 27 11:33:51 2026 +0530</t>
        </is>
      </c>
      <c r="C21" s="27" t="inlineStr">
        <is>
          <t>feat: increase timeouts to 2m, optimize extraction memory and keep-alive, add debug check for P-42</t>
        </is>
      </c>
      <c r="D21" s="27" t="inlineStr">
        <is>
          <t>backend/app/api/v1/auth.py
backend/app/services/extractor.py
frontend/src/pages/ComponentReview.tsx
frontend/src/pages/Export.tsx
frontend/src/pages/JobsReview.tsx
frontend/src/pages/SparesReview.tsx</t>
        </is>
      </c>
      <c r="E21" s="26" t="inlineStr">
        <is>
          <t>Completed</t>
        </is>
      </c>
    </row>
    <row r="22" ht="25.5" customHeight="1" s="30">
      <c r="A22" s="28" t="inlineStr">
        <is>
          <t>5fa5269</t>
        </is>
      </c>
      <c r="B22" s="28" t="inlineStr">
        <is>
          <t>Thu Aug 6 18:32:17 2026 +0530</t>
        </is>
      </c>
      <c r="C22" s="29" t="inlineStr">
        <is>
          <t>Comment out Extract Spares Only button on ManualReview page</t>
        </is>
      </c>
      <c r="D22" s="29" t="inlineStr">
        <is>
          <t>frontend/src/pages/ManualReview.tsx</t>
        </is>
      </c>
      <c r="E22" s="28" t="inlineStr">
        <is>
          <t>Completed</t>
        </is>
      </c>
    </row>
    <row r="23" ht="25.5" customHeight="1" s="30">
      <c r="A23" s="26" t="inlineStr">
        <is>
          <t>9bb900e</t>
        </is>
      </c>
      <c r="B23" s="26" t="inlineStr">
        <is>
          <t>Thu Aug 6 18:34:26 2026 +0530</t>
        </is>
      </c>
      <c r="C23" s="27" t="inlineStr">
        <is>
          <t>Map table header and diagram title to spare_model in spares extraction prompts</t>
        </is>
      </c>
      <c r="D23" s="27" t="inlineStr">
        <is>
          <t>backend/app/services/extractor.py</t>
        </is>
      </c>
      <c r="E23" s="26" t="inlineStr">
        <is>
          <t>Completed</t>
        </is>
      </c>
    </row>
    <row r="24" ht="25.5" customHeight="1" s="30">
      <c r="A24" s="28" t="inlineStr">
        <is>
          <t>3120952</t>
        </is>
      </c>
      <c r="B24" s="28" t="inlineStr">
        <is>
          <t>Thu Jul 23 19:00:05 2026 +0530</t>
        </is>
      </c>
      <c r="C24" s="29" t="inlineStr">
        <is>
          <t>Feature: Add detailed page-level extraction progress tracking and fix zoom coordinate scaling for snip selections</t>
        </is>
      </c>
      <c r="D24" s="29" t="inlineStr">
        <is>
          <t>backend/app/api/v1/extraction.py
backend/app/api/v1/ingestion.py
backend/app/services/extractor.py
frontend/src/components/manuals/ManualPagePreview.tsx
frontend/src/components/spares/SnipExtractModal.tsx
frontend/src/pages/ManualReview.tsx</t>
        </is>
      </c>
      <c r="E24" s="28" t="inlineStr">
        <is>
          <t>Completed</t>
        </is>
      </c>
    </row>
    <row r="25" ht="25.5" customHeight="1" s="30">
      <c r="A25" s="26" t="inlineStr">
        <is>
          <t>777066d</t>
        </is>
      </c>
      <c r="B25" s="26" t="inlineStr">
        <is>
          <t>Thu Jul 30 20:20:14 2026 +0530</t>
        </is>
      </c>
      <c r="C25" s="27" t="inlineStr">
        <is>
          <t>feat: add modified date and sorting to selected files modal, add loader to folder explorer navigation, and deduplicate spares during auto extraction</t>
        </is>
      </c>
      <c r="D25" s="27" t="inlineStr">
        <is>
          <t>backend/app/services/extractor.py
frontend/src/pages/Ingestion.tsx</t>
        </is>
      </c>
      <c r="E25" s="26" t="inlineStr">
        <is>
          <t>Completed</t>
        </is>
      </c>
    </row>
    <row r="26" ht="25.5" customHeight="1" s="30">
      <c r="A26" s="28" t="inlineStr">
        <is>
          <t>70d9e2f</t>
        </is>
      </c>
      <c r="B26" s="28" t="inlineStr">
        <is>
          <t>Thu Jun 4 19:00:04 2026 +0530</t>
        </is>
      </c>
      <c r="C26" s="29" t="inlineStr">
        <is>
          <t>Dilip: Manual preview in a seperate tab</t>
        </is>
      </c>
      <c r="D26" s="29" t="inlineStr">
        <is>
          <t>frontend/src/App.tsx
frontend/src/components/manuals/ManualPagePreview.tsx
frontend/src/pages/ComponentReview.tsx
frontend/src/pages/JobsReview.tsx
frontend/src/pages/ManualStandalonePreview.tsx
frontend/src/pages/SparesReview.tsx</t>
        </is>
      </c>
      <c r="E26" s="28" t="inlineStr">
        <is>
          <t>Completed</t>
        </is>
      </c>
    </row>
    <row r="27" ht="25.5" customHeight="1" s="30">
      <c r="A27" s="26" t="inlineStr">
        <is>
          <t>3682249</t>
        </is>
      </c>
      <c r="B27" s="26" t="inlineStr">
        <is>
          <t>Thu Jun 4 19:33:18 2026 +0530</t>
        </is>
      </c>
      <c r="C27" s="27" t="inlineStr">
        <is>
          <t>Dilip: Hamburger icon with arrow and snip and extract default first page loading on manual selection</t>
        </is>
      </c>
      <c r="D27" s="27" t="inlineStr">
        <is>
          <t>frontend/src/components/Layout.tsx
frontend/src/components/spares/SnipExtractModal.tsx
frontend/src/pages/JobsReview.tsx
frontend/src/pages/SparesReview.tsx</t>
        </is>
      </c>
      <c r="E27" s="26" t="inlineStr">
        <is>
          <t>Completed</t>
        </is>
      </c>
    </row>
    <row r="28" ht="25.5" customHeight="1" s="30">
      <c r="A28" s="28" t="inlineStr">
        <is>
          <t>1df912a</t>
        </is>
      </c>
      <c r="B28" s="28" t="inlineStr">
        <is>
          <t>Tue Aug 11 20:14:04 2026 +0530</t>
        </is>
      </c>
      <c r="C28" s="29" t="inlineStr">
        <is>
          <t>Enable Extract Jobs Only and Extract Spares Only buttons on Manual Classification page</t>
        </is>
      </c>
      <c r="D28" s="29" t="inlineStr">
        <is>
          <t>frontend/src/pages/ManualReview.tsx</t>
        </is>
      </c>
      <c r="E28" s="28" t="inlineStr">
        <is>
          <t>Completed</t>
        </is>
      </c>
    </row>
    <row r="29" ht="25.5" customHeight="1" s="30">
      <c r="A29" s="26" t="inlineStr">
        <is>
          <t>51eba16</t>
        </is>
      </c>
      <c r="B29" s="26" t="inlineStr">
        <is>
          <t>Tue Aug 18 04:16:32 2026 +0530</t>
        </is>
      </c>
      <c r="C29" s="27" t="inlineStr">
        <is>
          <t>feat: implement individual baseline import and template downloads for components, jobs, and spares</t>
        </is>
      </c>
      <c r="D29" s="27" t="inlineStr">
        <is>
          <t>backend/app/api/v1/jobs.py
backend/app/api/v1/spares.py
frontend/src/pages/ComponentReview.tsx
frontend/src/pages/JobsReview.tsx
frontend/src/pages/ManualReview.tsx
frontend/src/pages/SparesReview.tsx</t>
        </is>
      </c>
      <c r="E29" s="26" t="inlineStr">
        <is>
          <t>Completed</t>
        </is>
      </c>
    </row>
    <row r="30" ht="25.5" customHeight="1" s="30">
      <c r="A30" s="28" t="inlineStr">
        <is>
          <t>ed24c18</t>
        </is>
      </c>
      <c r="B30" s="28" t="inlineStr">
        <is>
          <t>Tue Aug 18 04:28:23 2026 +0530</t>
        </is>
      </c>
      <c r="C30" s="29" t="inlineStr">
        <is>
          <t>fix: move StreamingResponse import to module level in jobs.py and spares.py to prevent Pydantic NameError on startup</t>
        </is>
      </c>
      <c r="D30" s="29" t="inlineStr">
        <is>
          <t>backend/app/api/v1/jobs.py
backend/app/api/v1/spares.py</t>
        </is>
      </c>
      <c r="E30" s="28" t="inlineStr">
        <is>
          <t>Completed</t>
        </is>
      </c>
    </row>
    <row r="31" ht="25.5" customHeight="1" s="30">
      <c r="A31" s="26" t="inlineStr">
        <is>
          <t>f067a0e</t>
        </is>
      </c>
      <c r="B31" s="26" t="inlineStr">
        <is>
          <t>Tue Aug 25 08:14:25 2026 +0530</t>
        </is>
      </c>
      <c r="C31" s="27" t="inlineStr">
        <is>
          <t>feat: keep AI-driven matching exclusively for jobs, revert spares matching to original text-overlap logic</t>
        </is>
      </c>
      <c r="D31" s="27" t="inlineStr">
        <is>
          <t>backend/app/services/extractor.py</t>
        </is>
      </c>
      <c r="E31" s="26" t="inlineStr">
        <is>
          <t>Completed</t>
        </is>
      </c>
    </row>
    <row r="32" ht="25.5" customHeight="1" s="30">
      <c r="A32" s="28" t="inlineStr">
        <is>
          <t>f4750a9</t>
        </is>
      </c>
      <c r="B32" s="28" t="inlineStr">
        <is>
          <t>Tue Aug 4 09:32:51 2026 +0530</t>
        </is>
      </c>
      <c r="C32" s="29" t="inlineStr">
        <is>
          <t>Restrict spares extraction to specified pages and add Extract Spares Only button to Manuals page</t>
        </is>
      </c>
      <c r="D32" s="29" t="inlineStr">
        <is>
          <t>backend/app/api/v1/ingestion.py
backend/app/services/extractor.py
frontend/src/pages/ManualReview.tsx</t>
        </is>
      </c>
      <c r="E32" s="28" t="inlineStr">
        <is>
          <t>Completed</t>
        </is>
      </c>
    </row>
    <row r="33" ht="25.5" customHeight="1" s="30">
      <c r="A33" s="26" t="inlineStr">
        <is>
          <t>3a0b48e</t>
        </is>
      </c>
      <c r="B33" s="26" t="inlineStr">
        <is>
          <t>Tue Aug 4 11:51:02 2026 +0530</t>
        </is>
      </c>
      <c r="C33" s="27" t="inlineStr">
        <is>
          <t>Add DUPLICATE TABLE TEXT RULE to spares system prompt to avoid duplicate text extraction and truncation</t>
        </is>
      </c>
      <c r="D33" s="27" t="inlineStr">
        <is>
          <t>backend/app/services/extractor.py</t>
        </is>
      </c>
      <c r="E33" s="26" t="inlineStr">
        <is>
          <t>Completed</t>
        </is>
      </c>
    </row>
    <row r="34" ht="25.5" customHeight="1" s="30">
      <c r="A34" s="28" t="inlineStr">
        <is>
          <t>af202a3</t>
        </is>
      </c>
      <c r="B34" s="28" t="inlineStr">
        <is>
          <t>Tue Aug 4 15:49:43 2026 +0530</t>
        </is>
      </c>
      <c r="C34" s="29" t="inlineStr">
        <is>
          <t>Fix spares extraction vertical slicing issues on single-column tables</t>
        </is>
      </c>
      <c r="D34" s="29" t="inlineStr">
        <is>
          <t>backend/app/services/extractor.py</t>
        </is>
      </c>
      <c r="E34" s="28" t="inlineStr">
        <is>
          <t>Completed</t>
        </is>
      </c>
    </row>
    <row r="35" ht="25.5" customHeight="1" s="30">
      <c r="A35" s="26" t="inlineStr">
        <is>
          <t>7810608</t>
        </is>
      </c>
      <c r="B35" s="26" t="inlineStr">
        <is>
          <t>Tue Aug 4 16:29:32 2026 +0530</t>
        </is>
      </c>
      <c r="C35" s="27" t="inlineStr">
        <is>
          <t>Fix spares consolidation merging distinct parts with same part number but different positions</t>
        </is>
      </c>
      <c r="D35" s="27" t="inlineStr">
        <is>
          <t>backend/app/services/extractor.py</t>
        </is>
      </c>
      <c r="E35" s="26" t="inlineStr">
        <is>
          <t>Completed</t>
        </is>
      </c>
    </row>
    <row r="36" ht="25.5" customHeight="1" s="30">
      <c r="A36" s="28" t="inlineStr">
        <is>
          <t>9de7e80</t>
        </is>
      </c>
      <c r="B36" s="28" t="inlineStr">
        <is>
          <t>Tue Aug 4 16:53:03 2026 +0530</t>
        </is>
      </c>
      <c r="C36" s="29" t="inlineStr">
        <is>
          <t>Skip full-pdf text scanning phase for PDF spares-only extraction</t>
        </is>
      </c>
      <c r="D36" s="29" t="inlineStr">
        <is>
          <t>backend/app/services/extractor.py</t>
        </is>
      </c>
      <c r="E36" s="28" t="inlineStr">
        <is>
          <t>Completed</t>
        </is>
      </c>
    </row>
    <row r="37" ht="25.5" customHeight="1" s="30">
      <c r="A37" s="26" t="inlineStr">
        <is>
          <t>6e226d9</t>
        </is>
      </c>
      <c r="B37" s="26" t="inlineStr">
        <is>
          <t>Tue Aug 4 17:02:39 2026 +0530</t>
        </is>
      </c>
      <c r="C37" s="27" t="inlineStr">
        <is>
          <t>Bypass full-pdf text scanning phase for all PDF extractions (components, jobs, and spares)</t>
        </is>
      </c>
      <c r="D37" s="27" t="inlineStr">
        <is>
          <t>backend/app/services/extractor.py</t>
        </is>
      </c>
      <c r="E37" s="26" t="inlineStr">
        <is>
          <t>Completed</t>
        </is>
      </c>
    </row>
    <row r="38" ht="25.5" customHeight="1" s="30">
      <c r="A38" s="28" t="inlineStr">
        <is>
          <t>f3cbd97</t>
        </is>
      </c>
      <c r="B38" s="28" t="inlineStr">
        <is>
          <t>Tue Jun 2 13:47:22 2026 +0530</t>
        </is>
      </c>
      <c r="C38" s="29" t="inlineStr">
        <is>
          <t>Dilip: Next previous zoom buttons in spares page, layout changes in component page</t>
        </is>
      </c>
      <c r="D38" s="29" t="inlineStr">
        <is>
          <t>frontend/src/components/spares/SnipExtractModal.tsx
frontend/src/pages/ComponentReview.tsx</t>
        </is>
      </c>
      <c r="E38" s="28" t="inlineStr">
        <is>
          <t>Completed</t>
        </is>
      </c>
    </row>
    <row r="39" ht="25.5" customHeight="1" s="30">
      <c r="A39" s="26" t="inlineStr">
        <is>
          <t>e529ac3</t>
        </is>
      </c>
      <c r="B39" s="26" t="inlineStr">
        <is>
          <t>Wed Aug 26 07:50:23 2026 +0530</t>
        </is>
      </c>
      <c r="C39" s="27" t="inlineStr">
        <is>
          <t>feat: add old manual b480204a spares re-linking support to debug-restore-m29</t>
        </is>
      </c>
      <c r="D39" s="27" t="inlineStr">
        <is>
          <t>backend/app/api/v1/ingestion.py</t>
        </is>
      </c>
      <c r="E39" s="26" t="inlineStr">
        <is>
          <t>Completed</t>
        </is>
      </c>
    </row>
    <row r="40" ht="25.5" customHeight="1" s="30">
      <c r="A40" s="28" t="inlineStr">
        <is>
          <t>6ff1328</t>
        </is>
      </c>
      <c r="B40" s="28" t="inlineStr">
        <is>
          <t>Wed Aug 26 08:40:37 2026 +0530</t>
        </is>
      </c>
      <c r="C40" s="29" t="inlineStr">
        <is>
          <t>feat: correct debug-restore-m29 endpoint to move spares back to M-45 and reset M-29 status</t>
        </is>
      </c>
      <c r="D40" s="29" t="inlineStr">
        <is>
          <t>backend/app/api/v1/auth.py</t>
        </is>
      </c>
      <c r="E40" s="28" t="inlineStr">
        <is>
          <t>Completed</t>
        </is>
      </c>
    </row>
    <row r="41">
      <c r="A41" s="0" t="inlineStr">
        <is>
          <t>719b181</t>
        </is>
      </c>
      <c r="B41" s="0" t="inlineStr">
        <is>
          <t>Fri Oct 09 01:54:18 2026 +0530</t>
        </is>
      </c>
      <c r="C41" s="0" t="inlineStr">
        <is>
          <t>fix(spares): refine Proper Text formatting for punctuation and remove assembly-model fallbacks</t>
        </is>
      </c>
      <c r="D41" s="0" t="inlineStr">
        <is>
          <t>backend/app/api/v1/spares.py
backend/app/services/extractor.py</t>
        </is>
      </c>
      <c r="E41" s="0" t="inlineStr">
        <is>
          <t>Completed</t>
        </is>
      </c>
    </row>
    <row r="42">
      <c r="A42" s="0" t="inlineStr">
        <is>
          <t>bd6d6e9</t>
        </is>
      </c>
      <c r="B42" s="0" t="inlineStr">
        <is>
          <t>Wed Oct 07 23:03:56 2026 +0530</t>
        </is>
      </c>
      <c r="C42" s="0" t="inlineStr">
        <is>
          <t>fix(spares): separate spare_assembly from spare_model across prompts, extraction save logic, export, and review UI</t>
        </is>
      </c>
      <c r="D42" s="0" t="inlineStr">
        <is>
          <t>backend/app/services/exporter.py
backend/app/services/extractor.py
backend/app/services/review_workflow.py
frontend/src/pages/SparesReview.tsx</t>
        </is>
      </c>
      <c r="E42" s="0" t="inlineStr">
        <is>
          <t>Completed</t>
        </is>
      </c>
    </row>
    <row r="43">
      <c r="A43" s="0" t="inlineStr">
        <is>
          <t>215c80f</t>
        </is>
      </c>
      <c r="B43" s="0" t="inlineStr">
        <is>
          <t>Wed Oct 07 11:05:55 2026 +0530</t>
        </is>
      </c>
      <c r="C43" s="0" t="inlineStr">
        <is>
          <t>fix(spares): capture part_name verbatim as in manual preserving abbreviations and misspellings in Proper Text</t>
        </is>
      </c>
      <c r="D43" s="0" t="inlineStr">
        <is>
          <t>backend/app/services/extractor.py</t>
        </is>
      </c>
      <c r="E43" s="0" t="inlineStr">
        <is>
          <t>Completed</t>
        </is>
      </c>
    </row>
    <row r="44">
      <c r="A44" s="0" t="inlineStr">
        <is>
          <t>b0c64ec</t>
        </is>
      </c>
      <c r="B44" s="0" t="inlineStr">
        <is>
          <t>Tue Sep 22 22:42:28 2026 +0530</t>
        </is>
      </c>
      <c r="C44" s="0" t="inlineStr">
        <is>
          <t>feat(snip-extract): add searchable filter dropdown for PDF manual source in Jobs and Spares</t>
        </is>
      </c>
      <c r="D44" s="0" t="inlineStr">
        <is>
          <t>frontend/src/components/SearchableSelect.tsx
frontend/src/components/jobs/SnipExtractJobsModal.tsx
frontend/src/components/spares/SnipExtractModal.tsx</t>
        </is>
      </c>
      <c r="E44" s="0" t="inlineStr">
        <is>
          <t>Completed</t>
        </is>
      </c>
    </row>
    <row r="45">
      <c r="A45" s="0" t="inlineStr">
        <is>
          <t>0824b42</t>
        </is>
      </c>
      <c r="B45" s="0" t="inlineStr">
        <is>
          <t>Mon Sep 21 17:35:44 2026 +0530</t>
        </is>
      </c>
      <c r="C45" s="0" t="inlineStr">
        <is>
          <t>fix(qc-export): soft-delete old extraction records upon re-extraction and deduplicate export</t>
        </is>
      </c>
      <c r="D45" s="0" t="inlineStr">
        <is>
          <t>backend/app/api/v1/jobs.py
backend/app/api/v1/spares.py
backend/app/services/extractor.py</t>
        </is>
      </c>
      <c r="E45" s="0" t="inlineStr">
        <is>
          <t>Completed</t>
        </is>
      </c>
    </row>
    <row r="46">
      <c r="A46" s="0" t="inlineStr">
        <is>
          <t>ae9da3f</t>
        </is>
      </c>
      <c r="B46" s="0" t="inlineStr">
        <is>
          <t>Mon Sep 21 16:49:53 2026 +0530</t>
        </is>
      </c>
      <c r="C46" s="0" t="inlineStr">
        <is>
          <t>feat(spares): enforce Title Case for Part Name/Assembly and ALL CAPS for Maker/Model/Drawing Number</t>
        </is>
      </c>
      <c r="D46" s="0" t="inlineStr">
        <is>
          <t>backend/app/api/v1/spares.py
backend/app/services/extractor.py</t>
        </is>
      </c>
      <c r="E46" s="0" t="inlineStr">
        <is>
          <t>Completed</t>
        </is>
      </c>
    </row>
    <row r="47">
      <c r="A47" s="0" t="inlineStr">
        <is>
          <t>5c9dd9b</t>
        </is>
      </c>
      <c r="B47" s="0" t="inlineStr">
        <is>
          <t>Mon Sep 21 16:10:50 2026 +0530</t>
        </is>
      </c>
      <c r="C47" s="0" t="inlineStr">
        <is>
          <t>feat(preview): add PyMuPDF rendering, disk caching, progress bar, and user-cancellable loading without timeout</t>
        </is>
      </c>
      <c r="D47" s="0" t="inlineStr">
        <is>
          <t>backend/app/api/v1/manuals.py
backend/requirements.txt
frontend/src/components/jobs/SnipExtractJobsModal.tsx
frontend/src/components/manuals/ManualPagePreview.tsx
frontend/src/components/spares/SnipExtractModal.tsx
requirements.txt</t>
        </is>
      </c>
      <c r="E47" s="0" t="inlineStr">
        <is>
          <t>Completed</t>
        </is>
      </c>
    </row>
    <row r="48">
      <c r="A48" s="0" t="inlineStr">
        <is>
          <t>2d87653</t>
        </is>
      </c>
      <c r="B48" s="0" t="inlineStr">
        <is>
          <t>Fri Sep 18 11:56:10 2026 +0530</t>
        </is>
      </c>
      <c r="C48" s="0" t="inlineStr">
        <is>
          <t>fix(spares): enforce explicit column header prefixes on specifications and deduplicate QC exports</t>
        </is>
      </c>
      <c r="D48" s="0" t="inlineStr">
        <is>
          <t>backend/app/api/v1/spares.py
backend/app/services/extractor.py</t>
        </is>
      </c>
      <c r="E48" s="0" t="inlineStr">
        <is>
          <t>Completed</t>
        </is>
      </c>
    </row>
    <row r="49">
      <c r="A49" s="0" t="inlineStr">
        <is>
          <t>a2fd561</t>
        </is>
      </c>
      <c r="B49" s="0" t="inlineStr">
        <is>
          <t>Thu Sep 10 03:05:59 2026 +0530</t>
        </is>
      </c>
      <c r="C49" s="0" t="inlineStr">
        <is>
          <t>fix: include manual name in QC export filename when source manual filter is applied</t>
        </is>
      </c>
      <c r="D49" s="0" t="inlineStr">
        <is>
          <t>backend/app/api/v1/components.py
backend/app/api/v1/jobs.py
backend/app/api/v1/spares.py</t>
        </is>
      </c>
      <c r="E49" s="0" t="inlineStr">
        <is>
          <t>Completed</t>
        </is>
      </c>
    </row>
    <row r="50">
      <c r="A50" s="0" t="inlineStr">
        <is>
          <t>ca95af9</t>
        </is>
      </c>
      <c r="B50" s="0" t="inlineStr">
        <is>
          <t>Wed Sep 09 01:56:58 2026 +0530</t>
        </is>
      </c>
      <c r="C50" s="0" t="inlineStr">
        <is>
          <t>fix: enforce strict manual page sequence order for spare parts export and listing</t>
        </is>
      </c>
      <c r="D50" s="0" t="inlineStr">
        <is>
          <t>backend/app/api/v1/spares.py</t>
        </is>
      </c>
      <c r="E50" s="0" t="inlineStr">
        <is>
          <t>Completed</t>
        </is>
      </c>
    </row>
    <row r="51">
      <c r="A51" s="0" t="inlineStr">
        <is>
          <t>c561b4f</t>
        </is>
      </c>
      <c r="B51" s="0" t="inlineStr">
        <is>
          <t>Tue Sep 01 17:16:59 2026 +0530</t>
        </is>
      </c>
      <c r="C51" s="0" t="inlineStr">
        <is>
          <t>feat: include Assembly, Assembly Description, and Critical columns in Spares QC export</t>
        </is>
      </c>
      <c r="D51" s="0" t="inlineStr">
        <is>
          <t>backend/app/api/v1/spares.py</t>
        </is>
      </c>
      <c r="E51" s="0" t="inlineStr">
        <is>
          <t>Completed</t>
        </is>
      </c>
    </row>
    <row r="52">
      <c r="A52" s="0" t="inlineStr">
        <is>
          <t>7599321</t>
        </is>
      </c>
      <c r="B52" s="0" t="inlineStr">
        <is>
          <t>Tue Sep 01 12:52:13 2026 +0530</t>
        </is>
      </c>
      <c r="C52" s="0" t="inlineStr">
        <is>
          <t>perf: optimize openpyxl export streams for 5x faster QC export generation</t>
        </is>
      </c>
      <c r="D52" s="0" t="inlineStr">
        <is>
          <t>backend/app/api/v1/components.py
backend/app/api/v1/jobs.py
backend/app/api/v1/spares.py</t>
        </is>
      </c>
      <c r="E52" s="0" t="inlineStr">
        <is>
          <t>Completed</t>
        </is>
      </c>
    </row>
    <row r="53">
      <c r="A53" s="0" t="inlineStr">
        <is>
          <t>d6c3cd4</t>
        </is>
      </c>
      <c r="B53" s="0" t="inlineStr">
        <is>
          <t>Tue Sep 01 12:22:34 2026 +0530</t>
        </is>
      </c>
      <c r="C53" s="0" t="inlineStr">
        <is>
          <t>feat: support filtered QC exports, add progress loader modal, and set QC Export button text to black</t>
        </is>
      </c>
      <c r="D53" s="0" t="inlineStr">
        <is>
          <t>backend/app/api/v1/components.py
backend/app/api/v1/jobs.py
backend/app/api/v1/spares.py
frontend/src/components/common/ExportProgressModal.tsx
frontend/src/pages/ComponentReview.tsx
frontend/src/pages/JobsReview.tsx
frontend/src/pages/SparesReview.tsx</t>
        </is>
      </c>
      <c r="E53" s="0" t="inlineStr">
        <is>
          <t>Completed</t>
        </is>
      </c>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ColWidth="12.63" defaultRowHeight="15.75" customHeight="1"/>
  <cols>
    <col width="13.13" customWidth="1" style="30" min="1" max="1"/>
    <col width="15.75" customWidth="1" style="30" min="2" max="2"/>
    <col width="52.5" customWidth="1" style="30" min="3" max="3"/>
    <col width="43.75" customWidth="1" style="30" min="4" max="4"/>
    <col width="13.13" customWidth="1" style="30" min="5" max="5"/>
    <col width="7.63" customWidth="1" style="30" min="6" max="26"/>
  </cols>
  <sheetData>
    <row r="1" ht="24.75" customHeight="1" s="30">
      <c r="A1" s="24" t="inlineStr">
        <is>
          <t>Committed Code Changes — System &amp; Backend</t>
        </is>
      </c>
    </row>
    <row r="2" ht="18" customHeight="1" s="30">
      <c r="A2" s="25" t="inlineStr">
        <is>
          <t>Complete repository commits targeting features and files on the System &amp; Backend since June 2026.</t>
        </is>
      </c>
    </row>
    <row r="4" ht="27.75" customHeight="1" s="30">
      <c r="A4" s="7" t="inlineStr">
        <is>
          <t>Commit Hash</t>
        </is>
      </c>
      <c r="B4" s="7" t="inlineStr">
        <is>
          <t>Date Committed</t>
        </is>
      </c>
      <c r="C4" s="7" t="inlineStr">
        <is>
          <t>Commit Message</t>
        </is>
      </c>
      <c r="D4" s="7" t="inlineStr">
        <is>
          <t>Files Modified / Impacted</t>
        </is>
      </c>
      <c r="E4" s="7" t="inlineStr">
        <is>
          <t>Status</t>
        </is>
      </c>
    </row>
    <row r="5" ht="25.5" customHeight="1" s="30">
      <c r="A5" s="26" t="inlineStr">
        <is>
          <t>8253240</t>
        </is>
      </c>
      <c r="B5" s="26" t="inlineStr">
        <is>
          <t>Fri Aug 14 06:15:09 2026 +0530</t>
        </is>
      </c>
      <c r="C5" s="27" t="inlineStr">
        <is>
          <t>fix: resolve 500 internal server error in statistics endpoint by wrapping sync in try-except and using db.flush()</t>
        </is>
      </c>
      <c r="D5" s="27" t="inlineStr">
        <is>
          <t>backend/app/services/anthropic_admin.py</t>
        </is>
      </c>
      <c r="E5" s="26" t="inlineStr">
        <is>
          <t>Completed</t>
        </is>
      </c>
    </row>
    <row r="6" ht="25.5" customHeight="1" s="30">
      <c r="A6" s="28" t="inlineStr">
        <is>
          <t>28bd76f</t>
        </is>
      </c>
      <c r="B6" s="28" t="inlineStr">
        <is>
          <t>Fri Aug 28 00:32:19 2026 +0530</t>
        </is>
      </c>
      <c r="C6" s="29" t="inlineStr">
        <is>
          <t>perf: filter pre-extraction OCR/enrichment pages when page_numbers is provided</t>
        </is>
      </c>
      <c r="D6" s="29" t="inlineStr">
        <is>
          <t>backend/app/services/extractor.py</t>
        </is>
      </c>
      <c r="E6" s="28" t="inlineStr">
        <is>
          <t>Completed</t>
        </is>
      </c>
    </row>
    <row r="7" ht="25.5" customHeight="1" s="30">
      <c r="A7" s="26" t="inlineStr">
        <is>
          <t>35c4e42</t>
        </is>
      </c>
      <c r="B7" s="26" t="inlineStr">
        <is>
          <t>Fri Aug 28 00:52:44 2026 +0530</t>
        </is>
      </c>
      <c r="C7" s="27" t="inlineStr">
        <is>
          <t>feat: implement iterative page-by-page database saves and detailed extraction progress states</t>
        </is>
      </c>
      <c r="D7" s="27" t="inlineStr">
        <is>
          <t>backend/app/services/extractor.py</t>
        </is>
      </c>
      <c r="E7" s="26" t="inlineStr">
        <is>
          <t>Completed</t>
        </is>
      </c>
    </row>
    <row r="8" ht="25.5" customHeight="1" s="30">
      <c r="A8" s="28" t="inlineStr">
        <is>
          <t>e1d6298</t>
        </is>
      </c>
      <c r="B8" s="28" t="inlineStr">
        <is>
          <t>Fri Aug 7 15:04:24 2026 +0530</t>
        </is>
      </c>
      <c r="C8" s="29" t="inlineStr">
        <is>
          <t>Automatically inject preceding page text context to PMS entity extraction</t>
        </is>
      </c>
      <c r="D8" s="29" t="inlineStr">
        <is>
          <t>backend/app/services/extractor.py</t>
        </is>
      </c>
      <c r="E8" s="28" t="inlineStr">
        <is>
          <t>Completed</t>
        </is>
      </c>
    </row>
    <row r="9" ht="25.5" customHeight="1" s="30">
      <c r="A9" s="26" t="inlineStr">
        <is>
          <t>34d3e5d</t>
        </is>
      </c>
      <c r="B9" s="26" t="inlineStr">
        <is>
          <t>Fri Aug 7 15:07:41 2026 +0530</t>
        </is>
      </c>
      <c r="C9" s="27" t="inlineStr">
        <is>
          <t>Automatically build and inject preceding pages headers history for deep context lookback up to 10 pages</t>
        </is>
      </c>
      <c r="D9" s="27" t="inlineStr">
        <is>
          <t>backend/app/services/extractor.py</t>
        </is>
      </c>
      <c r="E9" s="26" t="inlineStr">
        <is>
          <t>Completed</t>
        </is>
      </c>
    </row>
    <row r="10" ht="25.5" customHeight="1" s="30">
      <c r="A10" s="28" t="inlineStr">
        <is>
          <t>234c1c4</t>
        </is>
      </c>
      <c r="B10" s="28" t="inlineStr">
        <is>
          <t>Fri Aug 7 17:53:15 2026 +0530</t>
        </is>
      </c>
      <c r="C10" s="29" t="inlineStr">
        <is>
          <t>Apply client_max_body_size inside server and api location blocks in nginx.conf.template</t>
        </is>
      </c>
      <c r="D10" s="29" t="inlineStr">
        <is>
          <t>frontend/nginx.conf.template</t>
        </is>
      </c>
      <c r="E10" s="28" t="inlineStr">
        <is>
          <t>Completed</t>
        </is>
      </c>
    </row>
    <row r="11" ht="25.5" customHeight="1" s="30">
      <c r="A11" s="26" t="inlineStr">
        <is>
          <t>7d3ce38</t>
        </is>
      </c>
      <c r="B11" s="26" t="inlineStr">
        <is>
          <t>Fri Jul 24 19:51:07 2026 +0530</t>
        </is>
      </c>
      <c r="C11" s="27" t="inlineStr">
        <is>
          <t>Fix: Revert CLAUDE_MODEL_ID back to claude-sonnet-4-6 for custom gateway compatibility</t>
        </is>
      </c>
      <c r="D11" s="27" t="inlineStr">
        <is>
          <t>backend/app/core/config.py</t>
        </is>
      </c>
      <c r="E11" s="26" t="inlineStr">
        <is>
          <t>Completed</t>
        </is>
      </c>
    </row>
    <row r="12" ht="25.5" customHeight="1" s="30">
      <c r="A12" s="28" t="inlineStr">
        <is>
          <t>6a1dac0</t>
        </is>
      </c>
      <c r="B12" s="28" t="inlineStr">
        <is>
          <t>Fri Jul 24 20:01:19 2026 +0530</t>
        </is>
      </c>
      <c r="C12" s="29" t="inlineStr">
        <is>
          <t>Fix: Raise clear RuntimeError if both Vision API keys are missing to prevent silent empty returns</t>
        </is>
      </c>
      <c r="D12" s="29" t="inlineStr">
        <is>
          <t>backend/app/services/extractor.py</t>
        </is>
      </c>
      <c r="E12" s="28" t="inlineStr">
        <is>
          <t>Completed</t>
        </is>
      </c>
    </row>
    <row r="13" ht="25.5" customHeight="1" s="30">
      <c r="A13" s="26" t="inlineStr">
        <is>
          <t>6480bd0</t>
        </is>
      </c>
      <c r="B13" s="26" t="inlineStr">
        <is>
          <t>Fri Jul 24 20:11:55 2026 +0530</t>
        </is>
      </c>
      <c r="C13" s="27" t="inlineStr">
        <is>
          <t>Fix: Propagate exceptions from inner vision extraction functions to prevent swallowing errors</t>
        </is>
      </c>
      <c r="D13" s="27" t="inlineStr">
        <is>
          <t>backend/app/services/extractor.py</t>
        </is>
      </c>
      <c r="E13" s="26" t="inlineStr">
        <is>
          <t>Completed</t>
        </is>
      </c>
    </row>
    <row r="14" ht="25.5" customHeight="1" s="30">
      <c r="A14" s="28" t="inlineStr">
        <is>
          <t>0b12fbf</t>
        </is>
      </c>
      <c r="B14" s="28" t="inlineStr">
        <is>
          <t>Fri Jul 31 15:35:04 2026 +0530</t>
        </is>
      </c>
      <c r="C14" s="29" t="inlineStr">
        <is>
          <t>fix: add wait_for_db script to avoid migration failure on Railway database startup race condition</t>
        </is>
      </c>
      <c r="D14" s="29" t="inlineStr">
        <is>
          <t>backend/scripts/railway_start.sh
backend/scripts/wait_for_db.py</t>
        </is>
      </c>
      <c r="E14" s="28" t="inlineStr">
        <is>
          <t>Completed</t>
        </is>
      </c>
    </row>
    <row r="15" ht="25.5" customHeight="1" s="30">
      <c r="A15" s="26" t="inlineStr">
        <is>
          <t>5093d38</t>
        </is>
      </c>
      <c r="B15" s="26" t="inlineStr">
        <is>
          <t>Sun Jul 12 01:02:55 2026 +0530</t>
        </is>
      </c>
      <c r="C15" s="27" t="inlineStr">
        <is>
          <t>Fix: AI tokens chage</t>
        </is>
      </c>
      <c r="D15" s="27" t="inlineStr">
        <is>
          <t>backend/app/services/extractor.py</t>
        </is>
      </c>
      <c r="E15" s="26" t="inlineStr">
        <is>
          <t>Completed</t>
        </is>
      </c>
    </row>
    <row r="16" ht="25.5" customHeight="1" s="30">
      <c r="A16" s="28" t="inlineStr">
        <is>
          <t>c702e36</t>
        </is>
      </c>
      <c r="B16" s="28" t="inlineStr">
        <is>
          <t>Sun Jul 12 10:05:03 2026 +0530</t>
        </is>
      </c>
      <c r="C16" s="29" t="inlineStr">
        <is>
          <t>Fix: tokens fix for error logs</t>
        </is>
      </c>
      <c r="D16" s="29" t="inlineStr">
        <is>
          <t>backend/app/services/extractor.py</t>
        </is>
      </c>
      <c r="E16" s="28" t="inlineStr">
        <is>
          <t>Completed</t>
        </is>
      </c>
    </row>
    <row r="17" ht="25.5" customHeight="1" s="30">
      <c r="A17" s="26" t="inlineStr">
        <is>
          <t>7f85793</t>
        </is>
      </c>
      <c r="B17" s="26" t="inlineStr">
        <is>
          <t>Thu Aug 6 16:51:02 2026 +0530</t>
        </is>
      </c>
      <c r="C17" s="27" t="inlineStr">
        <is>
          <t>Optimize screening by skipping heavy table extraction and footer OCR in classifier text helper</t>
        </is>
      </c>
      <c r="D17" s="27" t="inlineStr">
        <is>
          <t>backend/app/services/classifier.py</t>
        </is>
      </c>
      <c r="E17" s="26" t="inlineStr">
        <is>
          <t>Completed</t>
        </is>
      </c>
    </row>
    <row r="18" ht="25.5" customHeight="1" s="30">
      <c r="A18" s="28" t="inlineStr">
        <is>
          <t>fc99214</t>
        </is>
      </c>
      <c r="B18" s="28" t="inlineStr">
        <is>
          <t>Tue Aug 18 10:50:47 2026 +0530</t>
        </is>
      </c>
      <c r="C18" s="29" t="inlineStr">
        <is>
          <t>feat: completely bypass request size limit middleware to accept any file size uploads</t>
        </is>
      </c>
      <c r="D18" s="29" t="inlineStr">
        <is>
          <t>backend/app/main.py</t>
        </is>
      </c>
      <c r="E18" s="28" t="inlineStr">
        <is>
          <t>Completed</t>
        </is>
      </c>
    </row>
    <row r="19" ht="25.5" customHeight="1" s="30">
      <c r="A19" s="26" t="inlineStr">
        <is>
          <t>0acf392</t>
        </is>
      </c>
      <c r="B19" s="26" t="inlineStr">
        <is>
          <t>Tue Aug 25 17:21:43 2026 +0530</t>
        </is>
      </c>
      <c r="C19" s="27" t="inlineStr">
        <is>
          <t>feat: check staging vessel 4 status on startup</t>
        </is>
      </c>
      <c r="D19" s="27" t="inlineStr">
        <is>
          <t>backend/app/main.py</t>
        </is>
      </c>
      <c r="E19" s="26" t="inlineStr">
        <is>
          <t>Completed</t>
        </is>
      </c>
    </row>
    <row r="20" ht="25.5" customHeight="1" s="30">
      <c r="A20" s="28" t="inlineStr">
        <is>
          <t>e85aa59</t>
        </is>
      </c>
      <c r="B20" s="28" t="inlineStr">
        <is>
          <t>Tue Aug 25 18:54:55 2026 +0530</t>
        </is>
      </c>
      <c r="C20" s="29" t="inlineStr">
        <is>
          <t>feat: wrap extraction task in robust try-except to handle failures and document statuses gracefully</t>
        </is>
      </c>
      <c r="D20" s="29" t="inlineStr">
        <is>
          <t>backend/app/services/extractor.py</t>
        </is>
      </c>
      <c r="E20" s="28" t="inlineStr">
        <is>
          <t>Completed</t>
        </is>
      </c>
    </row>
    <row r="21" ht="25.5" customHeight="1" s="30">
      <c r="A21" s="26" t="inlineStr">
        <is>
          <t>f14c68e</t>
        </is>
      </c>
      <c r="B21" s="26" t="inlineStr">
        <is>
          <t>Tue Aug 4 16:40:49 2026 +0530</t>
        </is>
      </c>
      <c r="C21" s="27" t="inlineStr">
        <is>
          <t>Implement Redis-backed extraction status tracking for multi-worker backend sync</t>
        </is>
      </c>
      <c r="D21" s="27" t="inlineStr">
        <is>
          <t>backend/app/services/extractor.py</t>
        </is>
      </c>
      <c r="E21" s="26" t="inlineStr">
        <is>
          <t>Completed</t>
        </is>
      </c>
    </row>
    <row r="22" ht="25.5" customHeight="1" s="30">
      <c r="A22" s="28" t="inlineStr">
        <is>
          <t>cba317a</t>
        </is>
      </c>
      <c r="B22" s="28" t="inlineStr">
        <is>
          <t>Tue Aug 4 16:51:36 2026 +0530</t>
        </is>
      </c>
      <c r="C22" s="29" t="inlineStr">
        <is>
          <t>Optimize full-pdf text scanning by skipping slow table extraction</t>
        </is>
      </c>
      <c r="D22" s="29" t="inlineStr">
        <is>
          <t>backend/app/services/extractor.py</t>
        </is>
      </c>
      <c r="E22" s="28" t="inlineStr">
        <is>
          <t>Completed</t>
        </is>
      </c>
    </row>
    <row r="23" ht="25.5" customHeight="1" s="30">
      <c r="A23" s="26" t="inlineStr">
        <is>
          <t>d767e5c</t>
        </is>
      </c>
      <c r="B23" s="26" t="inlineStr">
        <is>
          <t>Tue Jul 28 18:20:40 2026 +0530</t>
        </is>
      </c>
      <c r="C23" s="27" t="inlineStr">
        <is>
          <t>feat: add MINIO_REGION config and pass to Minio client for Cloudflare R2 compatibility</t>
        </is>
      </c>
      <c r="D23" s="27" t="inlineStr">
        <is>
          <t>backend/.env.example
backend/app/core/config.py
backend/app/services/blob_storage.py</t>
        </is>
      </c>
      <c r="E23" s="26" t="inlineStr">
        <is>
          <t>Completed</t>
        </is>
      </c>
    </row>
    <row r="24" ht="25.5" customHeight="1" s="30">
      <c r="A24" s="28" t="inlineStr">
        <is>
          <t>d81d1be</t>
        </is>
      </c>
      <c r="B24" s="28" t="inlineStr">
        <is>
          <t>Tue Jul 28 18:29:42 2026 +0530</t>
        </is>
      </c>
      <c r="C24" s="29" t="inlineStr">
        <is>
          <t>fix: robustly parse S3 endpoint netloc and add diagnostics for Cloudflare R2</t>
        </is>
      </c>
      <c r="D24" s="29" t="inlineStr">
        <is>
          <t>backend/app/services/blob_storage.py</t>
        </is>
      </c>
      <c r="E24" s="28" t="inlineStr">
        <is>
          <t>Completed</t>
        </is>
      </c>
    </row>
    <row r="25" ht="25.5" customHeight="1" s="30">
      <c r="A25" s="26" t="inlineStr">
        <is>
          <t>77a1c89</t>
        </is>
      </c>
      <c r="B25" s="26" t="inlineStr">
        <is>
          <t>Wed Aug 19 18:36:57 2026 +0530</t>
        </is>
      </c>
      <c r="C25" s="27" t="inlineStr">
        <is>
          <t>feat: add automatic backup and backfill migration runner on backend startup</t>
        </is>
      </c>
      <c r="D25" s="27" t="inlineStr">
        <is>
          <t>backend/app/main.py</t>
        </is>
      </c>
      <c r="E25" s="26" t="inlineStr">
        <is>
          <t>Completed</t>
        </is>
      </c>
    </row>
    <row r="26" ht="25.5" customHeight="1" s="30">
      <c r="A26" s="28" t="inlineStr">
        <is>
          <t>ccea5dc</t>
        </is>
      </c>
      <c r="B26" s="28" t="inlineStr">
        <is>
          <t>Wed Aug 19 19:06:12 2026 +0530</t>
        </is>
      </c>
      <c r="C26" s="29" t="inlineStr">
        <is>
          <t>debug: add global library tenant_id diagnostic logging</t>
        </is>
      </c>
      <c r="D26" s="29" t="inlineStr">
        <is>
          <t>backend/app/api/v1/library.py</t>
        </is>
      </c>
      <c r="E26" s="28" t="inlineStr">
        <is>
          <t>Completed</t>
        </is>
      </c>
    </row>
    <row r="27" ht="25.5" customHeight="1" s="30">
      <c r="A27" s="26" t="inlineStr">
        <is>
          <t>b86b775</t>
        </is>
      </c>
      <c r="B27" s="26" t="inlineStr">
        <is>
          <t>Wed Aug 19 19:10:33 2026 +0530</t>
        </is>
      </c>
      <c r="C27" s="27" t="inlineStr">
        <is>
          <t>fix: move ensure_tenant_library_seeded helper above decorator and enable on-demand seeding</t>
        </is>
      </c>
      <c r="D27" s="27" t="inlineStr">
        <is>
          <t>backend/app/api/v1/library.py</t>
        </is>
      </c>
      <c r="E27" s="26" t="inlineStr">
        <is>
          <t>Completed</t>
        </is>
      </c>
    </row>
    <row r="28" ht="25.5" customHeight="1" s="30">
      <c r="A28" s="28" t="inlineStr">
        <is>
          <t>291cf1c</t>
        </is>
      </c>
      <c r="B28" s="28" t="inlineStr">
        <is>
          <t>Wed Aug 26 06:44:54 2026 +0530</t>
        </is>
      </c>
      <c r="C28" s="29" t="inlineStr">
        <is>
          <t>feat: add M-29 volume 2 diagnostic check on startup</t>
        </is>
      </c>
      <c r="D28" s="29" t="inlineStr">
        <is>
          <t>backend/app/main.py</t>
        </is>
      </c>
      <c r="E28" s="28" t="inlineStr">
        <is>
          <t>Completed</t>
        </is>
      </c>
    </row>
    <row r="29" ht="25.5" customHeight="1" s="30">
      <c r="A29" s="26" t="inlineStr">
        <is>
          <t>9922de9</t>
        </is>
      </c>
      <c r="B29" s="26" t="inlineStr">
        <is>
          <t>Wed Aug 26 08:54:44 2026 +0530</t>
        </is>
      </c>
      <c r="C29" s="27" t="inlineStr">
        <is>
          <t>feat: update debug-restore-m29 endpoint to serve as real-time M-29 active/deleted record counts diagnostics</t>
        </is>
      </c>
      <c r="D29" s="27" t="inlineStr">
        <is>
          <t>backend/app/api/v1/auth.py</t>
        </is>
      </c>
      <c r="E29" s="26" t="inlineStr">
        <is>
          <t>Completed</t>
        </is>
      </c>
    </row>
    <row r="30">
      <c r="A30" s="0" t="inlineStr">
        <is>
          <t>a507a86</t>
        </is>
      </c>
      <c r="B30" s="0" t="inlineStr">
        <is>
          <t>Fri Oct 09 13:00:07 2026 +0530</t>
        </is>
      </c>
      <c r="C30" s="0" t="inlineStr">
        <is>
          <t>fix(export): resolve 500 error in components and jobs QC export endpoints by initializing BytesIO buffer</t>
        </is>
      </c>
      <c r="D30" s="0" t="inlineStr">
        <is>
          <t>backend/app/api/v1/components.py
backend/app/api/v1/jobs.py</t>
        </is>
      </c>
      <c r="E30" s="0" t="inlineStr">
        <is>
          <t>Completed</t>
        </is>
      </c>
    </row>
    <row r="31">
      <c r="A31" s="0" t="inlineStr">
        <is>
          <t>bd6d6e9</t>
        </is>
      </c>
      <c r="B31" s="0" t="inlineStr">
        <is>
          <t>Wed Oct 07 23:03:56 2026 +0530</t>
        </is>
      </c>
      <c r="C31" s="0" t="inlineStr">
        <is>
          <t>fix(spares): separate spare_assembly from spare_model across prompts, extraction save logic, export, and review UI</t>
        </is>
      </c>
      <c r="D31" s="0" t="inlineStr">
        <is>
          <t>backend/app/services/exporter.py
backend/app/services/extractor.py
backend/app/services/review_workflow.py
frontend/src/pages/SparesReview.tsx</t>
        </is>
      </c>
      <c r="E31" s="0" t="inlineStr">
        <is>
          <t>Completed</t>
        </is>
      </c>
    </row>
    <row r="32">
      <c r="A32" s="0" t="inlineStr">
        <is>
          <t>0d248d2</t>
        </is>
      </c>
      <c r="B32" s="0" t="inlineStr">
        <is>
          <t>Wed Oct 07 18:35:43 2026 +0530</t>
        </is>
      </c>
      <c r="C32" s="0" t="inlineStr">
        <is>
          <t>fix(deploy): enforce UNIX LF line endings on startup scripts and add Dockerfile sanitizer</t>
        </is>
      </c>
      <c r="D32" s="0" t="inlineStr">
        <is>
          <t>.gitattributes
backend/Dockerfile</t>
        </is>
      </c>
      <c r="E32" s="0" t="inlineStr">
        <is>
          <t>Completed</t>
        </is>
      </c>
    </row>
    <row r="33">
      <c r="A33" s="0" t="inlineStr">
        <is>
          <t>31c049a</t>
        </is>
      </c>
      <c r="B33" s="0" t="inlineStr">
        <is>
          <t>Tue Oct 06 09:28:02 2026 +0530</t>
        </is>
      </c>
      <c r="C33" s="0" t="inlineStr">
        <is>
          <t>fix(workspace): capture-phase keydown listener and native DOM click simulation for instant tab shortcuts</t>
        </is>
      </c>
      <c r="D33" s="0" t="inlineStr">
        <is>
          <t>frontend/src/components/layout/WorkspaceTabBar.tsx</t>
        </is>
      </c>
      <c r="E33" s="0" t="inlineStr">
        <is>
          <t>Completed</t>
        </is>
      </c>
    </row>
    <row r="34">
      <c r="A34" s="0" t="inlineStr">
        <is>
          <t>1cdfede</t>
        </is>
      </c>
      <c r="B34" s="0" t="inlineStr">
        <is>
          <t>Tue Oct 06 09:18:11 2026 +0530</t>
        </is>
      </c>
      <c r="C34" s="0" t="inlineStr">
        <is>
          <t>fix(workspace): trigger native DOM click simulation for instant shortcut tab switching</t>
        </is>
      </c>
      <c r="D34" s="0" t="inlineStr">
        <is>
          <t>frontend/src/components/layout/WorkspaceTabBar.tsx</t>
        </is>
      </c>
      <c r="E34" s="0" t="inlineStr">
        <is>
          <t>Completed</t>
        </is>
      </c>
    </row>
    <row r="35">
      <c r="A35" s="0" t="inlineStr">
        <is>
          <t>9352488</t>
        </is>
      </c>
      <c r="B35" s="0" t="inlineStr">
        <is>
          <t>Tue Oct 06 09:08:53 2026 +0530</t>
        </is>
      </c>
      <c r="C35" s="0" t="inlineStr">
        <is>
          <t>feat(workspace): add Alt 1-9 tab switching, cycling shortcuts, Alt+W, Alt+T, and tab context menu</t>
        </is>
      </c>
      <c r="D35" s="0" t="inlineStr">
        <is>
          <t>frontend/src/components/layout/WorkspaceTabBar.tsx
frontend/src/store/tabStore.ts</t>
        </is>
      </c>
      <c r="E35" s="0" t="inlineStr">
        <is>
          <t>Completed</t>
        </is>
      </c>
    </row>
    <row r="36">
      <c r="A36" s="0" t="inlineStr">
        <is>
          <t>ae65c6c</t>
        </is>
      </c>
      <c r="B36" s="0" t="inlineStr">
        <is>
          <t>Tue Sep 29 13:31:13 2026 +0530</t>
        </is>
      </c>
      <c r="C36" s="0" t="inlineStr">
        <is>
          <t>feat(workspace): implement multi-tab navigation with persistent breadcrumbs and session recovery</t>
        </is>
      </c>
      <c r="D36" s="0" t="inlineStr">
        <is>
          <t>frontend/src/components/Layout.tsx
frontend/src/components/layout/WorkspaceBreadcrumbs.tsx
frontend/src/components/layout/WorkspaceTabBar.tsx
frontend/src/hooks/useAuth.ts
frontend/src/store/tabStore.ts</t>
        </is>
      </c>
      <c r="E36" s="0" t="inlineStr">
        <is>
          <t>Completed</t>
        </is>
      </c>
    </row>
    <row r="37">
      <c r="A37" s="0" t="inlineStr">
        <is>
          <t>0824b42</t>
        </is>
      </c>
      <c r="B37" s="0" t="inlineStr">
        <is>
          <t>Mon Sep 21 17:35:44 2026 +0530</t>
        </is>
      </c>
      <c r="C37" s="0" t="inlineStr">
        <is>
          <t>fix(qc-export): soft-delete old extraction records upon re-extraction and deduplicate export</t>
        </is>
      </c>
      <c r="D37" s="0" t="inlineStr">
        <is>
          <t>backend/app/api/v1/jobs.py
backend/app/api/v1/spares.py
backend/app/services/extractor.py</t>
        </is>
      </c>
      <c r="E37" s="0" t="inlineStr">
        <is>
          <t>Completed</t>
        </is>
      </c>
    </row>
    <row r="38">
      <c r="A38" s="0" t="inlineStr">
        <is>
          <t>2d87653</t>
        </is>
      </c>
      <c r="B38" s="0" t="inlineStr">
        <is>
          <t>Fri Sep 18 11:56:10 2026 +0530</t>
        </is>
      </c>
      <c r="C38" s="0" t="inlineStr">
        <is>
          <t>fix(spares): enforce explicit column header prefixes on specifications and deduplicate QC exports</t>
        </is>
      </c>
      <c r="D38" s="0" t="inlineStr">
        <is>
          <t>backend/app/api/v1/spares.py
backend/app/services/extractor.py</t>
        </is>
      </c>
      <c r="E38" s="0" t="inlineStr">
        <is>
          <t>Completed</t>
        </is>
      </c>
    </row>
    <row r="39">
      <c r="A39" s="0" t="inlineStr">
        <is>
          <t>1b9b1a2</t>
        </is>
      </c>
      <c r="B39" s="0" t="inlineStr">
        <is>
          <t>Wed Sep 16 16:44:03 2026 +0530</t>
        </is>
      </c>
      <c r="C39" s="0" t="inlineStr">
        <is>
          <t>fix(extraction): auto-delete existing records on target pages before repopulating from AI extraction</t>
        </is>
      </c>
      <c r="D39" s="0" t="inlineStr">
        <is>
          <t>backend/app/services/extractor.py</t>
        </is>
      </c>
      <c r="E39" s="0" t="inlineStr">
        <is>
          <t>Completed</t>
        </is>
      </c>
    </row>
    <row r="40">
      <c r="A40" s="0" t="inlineStr">
        <is>
          <t>4be47d1</t>
        </is>
      </c>
      <c r="B40" s="0" t="inlineStr">
        <is>
          <t>Wed Sep 16 14:55:37 2026 +0530</t>
        </is>
      </c>
      <c r="C40" s="0" t="inlineStr">
        <is>
          <t>feat: enforce explicit table column header references in specification and extraction rules</t>
        </is>
      </c>
      <c r="D40" s="0" t="inlineStr">
        <is>
          <t>backend/app/services/extractor.py</t>
        </is>
      </c>
      <c r="E40" s="0" t="inlineStr">
        <is>
          <t>Completed</t>
        </is>
      </c>
    </row>
    <row r="41">
      <c r="A41" s="0" t="inlineStr">
        <is>
          <t>a2fd561</t>
        </is>
      </c>
      <c r="B41" s="0" t="inlineStr">
        <is>
          <t>Thu Sep 10 03:05:59 2026 +0530</t>
        </is>
      </c>
      <c r="C41" s="0" t="inlineStr">
        <is>
          <t>fix: include manual name in QC export filename when source manual filter is applied</t>
        </is>
      </c>
      <c r="D41" s="0" t="inlineStr">
        <is>
          <t>backend/app/api/v1/components.py
backend/app/api/v1/jobs.py
backend/app/api/v1/spares.py</t>
        </is>
      </c>
      <c r="E41" s="0" t="inlineStr">
        <is>
          <t>Completed</t>
        </is>
      </c>
    </row>
    <row r="42">
      <c r="A42" s="0" t="inlineStr">
        <is>
          <t>ca95af9</t>
        </is>
      </c>
      <c r="B42" s="0" t="inlineStr">
        <is>
          <t>Wed Sep 09 01:56:58 2026 +0530</t>
        </is>
      </c>
      <c r="C42" s="0" t="inlineStr">
        <is>
          <t>fix: enforce strict manual page sequence order for spare parts export and listing</t>
        </is>
      </c>
      <c r="D42" s="0" t="inlineStr">
        <is>
          <t>backend/app/api/v1/spares.py</t>
        </is>
      </c>
      <c r="E42" s="0" t="inlineStr">
        <is>
          <t>Completed</t>
        </is>
      </c>
    </row>
    <row r="43">
      <c r="A43" s="0" t="inlineStr">
        <is>
          <t>81f58da</t>
        </is>
      </c>
      <c r="B43" s="0" t="inlineStr">
        <is>
          <t>Wed Sep 02 15:54:01 2026 +0530</t>
        </is>
      </c>
      <c r="C43" s="0" t="inlineStr">
        <is>
          <t>fix: remove inline import asyncio statements in extractor service causing UnboundLocalError</t>
        </is>
      </c>
      <c r="D43" s="0" t="inlineStr">
        <is>
          <t>backend/app/services/extractor.py</t>
        </is>
      </c>
      <c r="E43" s="0" t="inlineStr">
        <is>
          <t>Completed</t>
        </is>
      </c>
    </row>
    <row r="44">
      <c r="A44" s="0" t="inlineStr">
        <is>
          <t>c561b4f</t>
        </is>
      </c>
      <c r="B44" s="0" t="inlineStr">
        <is>
          <t>Tue Sep 01 17:16:59 2026 +0530</t>
        </is>
      </c>
      <c r="C44" s="0" t="inlineStr">
        <is>
          <t>feat: include Assembly, Assembly Description, and Critical columns in Spares QC export</t>
        </is>
      </c>
      <c r="D44" s="0" t="inlineStr">
        <is>
          <t>backend/app/api/v1/spares.py</t>
        </is>
      </c>
      <c r="E44" s="0" t="inlineStr">
        <is>
          <t>Completed</t>
        </is>
      </c>
    </row>
    <row r="45">
      <c r="A45" s="0" t="inlineStr">
        <is>
          <t>7599321</t>
        </is>
      </c>
      <c r="B45" s="0" t="inlineStr">
        <is>
          <t>Tue Sep 01 12:52:13 2026 +0530</t>
        </is>
      </c>
      <c r="C45" s="0" t="inlineStr">
        <is>
          <t>perf: optimize openpyxl export streams for 5x faster QC export generation</t>
        </is>
      </c>
      <c r="D45" s="0" t="inlineStr">
        <is>
          <t>backend/app/api/v1/components.py
backend/app/api/v1/jobs.py
backend/app/api/v1/spares.py</t>
        </is>
      </c>
      <c r="E45" s="0" t="inlineStr">
        <is>
          <t>Completed</t>
        </is>
      </c>
    </row>
    <row r="46">
      <c r="A46" s="0" t="inlineStr">
        <is>
          <t>d6c3cd4</t>
        </is>
      </c>
      <c r="B46" s="0" t="inlineStr">
        <is>
          <t>Tue Sep 01 12:22:34 2026 +0530</t>
        </is>
      </c>
      <c r="C46" s="0" t="inlineStr">
        <is>
          <t>feat: support filtered QC exports, add progress loader modal, and set QC Export button text to black</t>
        </is>
      </c>
      <c r="D46" s="0" t="inlineStr">
        <is>
          <t>backend/app/api/v1/components.py
backend/app/api/v1/jobs.py
backend/app/api/v1/spares.py
frontend/src/components/common/ExportProgressModal.tsx
frontend/src/pages/ComponentReview.tsx
frontend/src/pages/JobsReview.tsx
frontend/src/pages/SparesReview.tsx</t>
        </is>
      </c>
      <c r="E46" s="0" t="inlineStr">
        <is>
          <t>Completed</t>
        </is>
      </c>
    </row>
    <row r="47">
      <c r="A47" s="0" t="inlineStr">
        <is>
          <t>788085f</t>
        </is>
      </c>
      <c r="B47" s="0" t="inlineStr">
        <is>
          <t>Fri Aug 28 01:54:28 2026 +0530</t>
        </is>
      </c>
      <c r="C47" s="0" t="inlineStr">
        <is>
          <t>feat: support resolving and importing single-file SharePoint sharing links directly</t>
        </is>
      </c>
      <c r="D47" s="0" t="inlineStr">
        <is>
          <t>backend/app/services/sharepoint.py</t>
        </is>
      </c>
      <c r="E47" s="0" t="inlineStr">
        <is>
          <t>Completed</t>
        </is>
      </c>
    </row>
    <row r="48">
      <c r="A48" s="0" t="inlineStr">
        <is>
          <t>c729c94</t>
        </is>
      </c>
      <c r="B48" s="0" t="inlineStr">
        <is>
          <t>Fri Aug 28 01:46:06 2026 +0530</t>
        </is>
      </c>
      <c r="C48" s="0" t="inlineStr">
        <is>
          <t>feat: show recent SharePoint ingestion sessions and automatically switch tab on active session restore</t>
        </is>
      </c>
      <c r="D48" s="0" t="inlineStr">
        <is>
          <t>frontend/src/pages/Ingestion.tsx</t>
        </is>
      </c>
      <c r="E48" s="0" t="inlineStr">
        <is>
          <t>Completed</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2026-10-15T10:23:44Z</dcterms:created>
  <dcterms:modified xmlns:dcterms="http://purl.org/dc/terms/" xmlns:xsi="http://www.w3.org/2001/XMLSchema-instance" xsi:type="dcterms:W3CDTF">2026-10-23T10:34:42Z</dcterms:modified>
</cp:coreProperties>
</file>